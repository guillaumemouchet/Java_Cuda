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<sst xmlns="http://schemas.openxmlformats.org/spreadsheetml/2006/main" count="634" uniqueCount="164">
  <si>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</si>
  <si>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</si>
  <si>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</si>
  <si>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</si>
  <si>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</si>
  <si>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</si>
  <si>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</si>
  <si>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</si>
  <si>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</si>
  <si>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</si>
  <si>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</si>
  <si>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</si>
  <si>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</si>
  <si>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</si>
  <si>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</si>
  <si>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</si>
  <si>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</si>
  <si>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</si>
  <si>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</si>
  <si>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</si>
  <si>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</si>
  <si>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</si>
  <si>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</si>
  <si>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</si>
  <si>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</si>
  <si>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</si>
  <si>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</si>
  <si>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</si>
  <si>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</si>
  <si>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</si>
  <si>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</si>
  <si>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</si>
  <si>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</si>
  <si>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</si>
  <si>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</si>
  <si>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</si>
  <si>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</si>
  <si>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</si>
  <si>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</si>
  <si>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</si>
  <si>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</si>
  <si>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</si>
  <si>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</si>
  <si>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</si>
  <si>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</si>
  <si>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Ne passe pas les tests de performances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</si>
  <si>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</si>
  <si>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</si>
  <si>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</si>
  <si>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</si>
  <si>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</si>
  <si>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</si>
  <si>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</si>
  <si>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</si>
  <si>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</si>
  <si>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</si>
  <si>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</si>
  <si>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</si>
  <si>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</si>
  <si>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</si>
  <si>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</si>
  <si>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</si>
  <si>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</si>
  <si>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</si>
  <si>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</si>
  <si>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</si>
  <si>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</si>
  <si>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</si>
  <si>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</si>
  <si>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</si>
  <si>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</si>
  <si>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</si>
  <si>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</si>
  <si>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</si>
  <si>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</si>
  <si>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</si>
  <si>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</si>
  <si>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server down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</si>
  <si>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</si>
  <si>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</si>
  <si>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</si>
  <si>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</si>
  <si>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</si>
  <si>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</si>
  <si>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</si>
  <si>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</si>
  <si>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</si>
  <si>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</si>
  <si>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</si>
  <si>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</si>
  <si>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</si>
  <si>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ou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</si>
  <si>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</si>
  <si>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</si>
  <si>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</si>
  <si>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</si>
  <si>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</si>
  <si>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</si>
  <si>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 fait</t>
  </si>
  <si>
    <t xml:space="preserve">All Test ReductionTools</t>
  </si>
  <si>
    <t xml:space="preserve">durée
 raisonnable</t>
  </si>
  <si>
    <t xml:space="preserve">comment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</si>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</sst>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720</xdr:colOff>
      <xdr:row>2</xdr:row>
      <xdr:rowOff>28440</xdr:rowOff>
    </xdr:from>
    <xdr:to>
      <xdr:col>26</xdr:col>
      <xdr:colOff>159840</xdr:colOff>
      <xdr:row>60</xdr:row>
      <xdr:rowOff>73800</xdr:rowOff>
    </xdr:to>
    <xdr:sp>
      <xdr:nvSpPr>
        <xdr:cNvPr id="0" name="CustomShape 1"/>
        <xdr:cNvSpPr/>
      </xdr:nvSpPr>
      <xdr:spPr>
        <a:xfrm>
          <a:off x="329400" y="363600"/>
          <a:ext cx="8382600" cy="9768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45360</xdr:colOff>
      <xdr:row>73</xdr:row>
      <xdr:rowOff>131760</xdr:rowOff>
    </xdr:to>
    <xdr:sp>
      <xdr:nvSpPr>
        <xdr:cNvPr id="1" name="CustomShape 1"/>
        <xdr:cNvSpPr/>
      </xdr:nvSpPr>
      <xdr:spPr>
        <a:xfrm>
          <a:off x="329400" y="10359720"/>
          <a:ext cx="5965560" cy="20095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55800</xdr:colOff>
      <xdr:row>79</xdr:row>
      <xdr:rowOff>151200</xdr:rowOff>
    </xdr:to>
    <xdr:sp>
      <xdr:nvSpPr>
        <xdr:cNvPr id="2" name="CustomShape 1"/>
        <xdr:cNvSpPr/>
      </xdr:nvSpPr>
      <xdr:spPr>
        <a:xfrm>
          <a:off x="295200" y="12649320"/>
          <a:ext cx="5352120" cy="7452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216720</xdr:colOff>
      <xdr:row>100</xdr:row>
      <xdr:rowOff>55800</xdr:rowOff>
    </xdr:to>
    <xdr:sp>
      <xdr:nvSpPr>
        <xdr:cNvPr id="3" name="CustomShape 1"/>
        <xdr:cNvSpPr/>
      </xdr:nvSpPr>
      <xdr:spPr>
        <a:xfrm>
          <a:off x="357840" y="16198200"/>
          <a:ext cx="2819160" cy="6213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327600</xdr:colOff>
      <xdr:row>85</xdr:row>
      <xdr:rowOff>131760</xdr:rowOff>
    </xdr:to>
    <xdr:sp>
      <xdr:nvSpPr>
        <xdr:cNvPr id="4" name="CustomShape 1"/>
        <xdr:cNvSpPr/>
      </xdr:nvSpPr>
      <xdr:spPr>
        <a:xfrm>
          <a:off x="338760" y="13664520"/>
          <a:ext cx="2620080" cy="7164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169200</xdr:colOff>
      <xdr:row>94</xdr:row>
      <xdr:rowOff>132120</xdr:rowOff>
    </xdr:to>
    <xdr:sp>
      <xdr:nvSpPr>
        <xdr:cNvPr id="5" name="CustomShape 1"/>
        <xdr:cNvSpPr/>
      </xdr:nvSpPr>
      <xdr:spPr>
        <a:xfrm>
          <a:off x="295200" y="14661000"/>
          <a:ext cx="9083880" cy="12290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455760</xdr:colOff>
      <xdr:row>2</xdr:row>
      <xdr:rowOff>1503720</xdr:rowOff>
    </xdr:to>
    <xdr:sp>
      <xdr:nvSpPr>
        <xdr:cNvPr id="6" name="CustomShape 1"/>
        <xdr:cNvSpPr/>
      </xdr:nvSpPr>
      <xdr:spPr>
        <a:xfrm>
          <a:off x="5389920" y="816480"/>
          <a:ext cx="1489320" cy="9975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169560</xdr:colOff>
      <xdr:row>2</xdr:row>
      <xdr:rowOff>1506240</xdr:rowOff>
    </xdr:from>
    <xdr:to>
      <xdr:col>11</xdr:col>
      <xdr:colOff>329760</xdr:colOff>
      <xdr:row>6</xdr:row>
      <xdr:rowOff>113040</xdr:rowOff>
    </xdr:to>
    <xdr:sp>
      <xdr:nvSpPr>
        <xdr:cNvPr id="7" name="CustomShape 1"/>
        <xdr:cNvSpPr/>
      </xdr:nvSpPr>
      <xdr:spPr>
        <a:xfrm flipH="1">
          <a:off x="5207400" y="1816560"/>
          <a:ext cx="918360" cy="8164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82440</xdr:colOff>
      <xdr:row>2</xdr:row>
      <xdr:rowOff>1506240</xdr:rowOff>
    </xdr:from>
    <xdr:to>
      <xdr:col>11</xdr:col>
      <xdr:colOff>329400</xdr:colOff>
      <xdr:row>15</xdr:row>
      <xdr:rowOff>31320</xdr:rowOff>
    </xdr:to>
    <xdr:sp>
      <xdr:nvSpPr>
        <xdr:cNvPr id="8" name="CustomShape 1"/>
        <xdr:cNvSpPr/>
      </xdr:nvSpPr>
      <xdr:spPr>
        <a:xfrm flipH="1">
          <a:off x="5376960" y="1816560"/>
          <a:ext cx="748440" cy="22240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437040</xdr:colOff>
      <xdr:row>2</xdr:row>
      <xdr:rowOff>1360440</xdr:rowOff>
    </xdr:to>
    <xdr:sp>
      <xdr:nvSpPr>
        <xdr:cNvPr id="9" name="CustomShape 1"/>
        <xdr:cNvSpPr/>
      </xdr:nvSpPr>
      <xdr:spPr>
        <a:xfrm>
          <a:off x="5389920" y="920520"/>
          <a:ext cx="1972080" cy="750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169200</xdr:colOff>
      <xdr:row>2</xdr:row>
      <xdr:rowOff>1362960</xdr:rowOff>
    </xdr:from>
    <xdr:to>
      <xdr:col>12</xdr:col>
      <xdr:colOff>24480</xdr:colOff>
      <xdr:row>6</xdr:row>
      <xdr:rowOff>113040</xdr:rowOff>
    </xdr:to>
    <xdr:sp>
      <xdr:nvSpPr>
        <xdr:cNvPr id="10" name="CustomShape 1"/>
        <xdr:cNvSpPr/>
      </xdr:nvSpPr>
      <xdr:spPr>
        <a:xfrm flipH="1">
          <a:off x="5207040" y="1673280"/>
          <a:ext cx="1177920" cy="9597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82800</xdr:colOff>
      <xdr:row>2</xdr:row>
      <xdr:rowOff>1362960</xdr:rowOff>
    </xdr:from>
    <xdr:to>
      <xdr:col>12</xdr:col>
      <xdr:colOff>24120</xdr:colOff>
      <xdr:row>15</xdr:row>
      <xdr:rowOff>26640</xdr:rowOff>
    </xdr:to>
    <xdr:sp>
      <xdr:nvSpPr>
        <xdr:cNvPr id="11" name="CustomShape 1"/>
        <xdr:cNvSpPr/>
      </xdr:nvSpPr>
      <xdr:spPr>
        <a:xfrm flipH="1">
          <a:off x="5377320" y="1673280"/>
          <a:ext cx="1007280" cy="23727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37" colorId="64" zoomScale="100" zoomScaleNormal="100" zoomScalePageLayoutView="100" workbookViewId="0">
      <selection pane="topLeft" activeCell="K84" activeCellId="0" sqref="K84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 t="str">
        <f aca="false">IF(AND(U13=1,N13="",AR13&gt;0,AR13&lt;&gt;""),"TODO !","")</f>
        <v>TODO !</v>
      </c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65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2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 t="s">
        <v>22</v>
      </c>
      <c r="J27" s="59"/>
      <c r="K27" s="43"/>
      <c r="L27" s="43"/>
      <c r="M27" s="44" t="str">
        <f aca="false">IF(AND(U27=1,N27="",AR27&gt;0,AR27&lt;&gt;""),"TODO !","")</f>
        <v/>
      </c>
      <c r="N27" s="60" t="n">
        <v>4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2</v>
      </c>
      <c r="Z27" s="50"/>
      <c r="AA27" s="50"/>
      <c r="AB27" s="50"/>
      <c r="AC27" s="50"/>
      <c r="AD27" s="50"/>
      <c r="AE27" s="73" t="s">
        <v>45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n">
        <f aca="false">IF(I27="x",AM$4,"")</f>
        <v>2</v>
      </c>
      <c r="AN27" s="48" t="str">
        <f aca="false">IF(J27="x",AN$4,"")</f>
        <v/>
      </c>
      <c r="AO27" s="2"/>
      <c r="AP27" s="48" t="n">
        <f aca="false">COUNTIF(G27:J27,"=x")</f>
        <v>1</v>
      </c>
      <c r="AQ27" s="48" t="n">
        <f aca="false">IF(AP27&gt;0,AVERAGE(AK27:AN27),"")</f>
        <v>2</v>
      </c>
      <c r="AR27" s="48" t="n">
        <f aca="false">IF(AND(AP27&gt;0,U27=1),AQ27*R27,"")</f>
        <v>2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1.9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9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 t="s">
        <v>77</v>
      </c>
      <c r="L84" s="43"/>
      <c r="M84" s="44" t="str">
        <f aca="false">IF(AND(U84=1,N84="",AR84&gt;0,AR84&lt;&gt;""),"TODO !","")</f>
        <v/>
      </c>
      <c r="N84" s="45" t="n">
        <v>105</v>
      </c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50"/>
      <c r="AB84" s="50"/>
      <c r="AC84" s="50"/>
      <c r="AD84" s="50"/>
      <c r="AE84" s="73"/>
      <c r="AG84" s="53" t="s">
        <v>78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3</v>
      </c>
      <c r="AV84" s="54" t="n">
        <f aca="false">SUM(AR84:AR90)</f>
        <v>33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79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 t="n">
        <v>114</v>
      </c>
      <c r="O85" s="46" t="s">
        <v>23</v>
      </c>
      <c r="P85" s="110" t="n">
        <f aca="false">IF(N85&lt;&gt;"",N85/$N$84,"")</f>
        <v>1.08571428571429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3.2" hidden="false" customHeight="false" outlineLevel="1" collapsed="false">
      <c r="B86" s="107"/>
      <c r="C86" s="82" t="s">
        <v>80</v>
      </c>
      <c r="D86" s="34"/>
      <c r="E86" s="93"/>
      <c r="F86" s="34"/>
      <c r="G86" s="41"/>
      <c r="H86" s="41"/>
      <c r="I86" s="42"/>
      <c r="J86" s="41"/>
      <c r="K86" s="43"/>
      <c r="L86" s="43"/>
      <c r="M86" s="44" t="str">
        <f aca="false">IF(AND(U86=1,N86="",AR86&gt;0,AR86&lt;&gt;""),"TODO !","")</f>
        <v/>
      </c>
      <c r="N86" s="45"/>
      <c r="O86" s="46" t="s">
        <v>23</v>
      </c>
      <c r="P86" s="110" t="str">
        <f aca="false">IF(N86&lt;&gt;"",N86/$N$84,"")</f>
        <v/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 t="s">
        <v>22</v>
      </c>
      <c r="K88" s="43"/>
      <c r="L88" s="43"/>
      <c r="M88" s="44" t="str">
        <f aca="false">IF(AND(U88=1,N88="",AR88&gt;0,AR88&lt;&gt;""),"TODO !","")</f>
        <v/>
      </c>
      <c r="N88" s="111" t="n">
        <v>23</v>
      </c>
      <c r="O88" s="61" t="s">
        <v>27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79</v>
      </c>
      <c r="D89" s="34"/>
      <c r="E89" s="76"/>
      <c r="F89" s="34"/>
      <c r="G89" s="41"/>
      <c r="H89" s="41"/>
      <c r="I89" s="41"/>
      <c r="J89" s="59" t="s">
        <v>22</v>
      </c>
      <c r="K89" s="43"/>
      <c r="L89" s="43"/>
      <c r="M89" s="44" t="str">
        <f aca="false">IF(AND(U89=1,N89="",AR89&gt;0,AR89&lt;&gt;""),"TODO !","")</f>
        <v/>
      </c>
      <c r="N89" s="111" t="n">
        <v>23</v>
      </c>
      <c r="O89" s="61" t="s">
        <v>27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3.2" hidden="false" customHeight="false" outlineLevel="1" collapsed="false">
      <c r="B90" s="107"/>
      <c r="C90" s="55" t="s">
        <v>80</v>
      </c>
      <c r="D90" s="56"/>
      <c r="E90" s="76"/>
      <c r="F90" s="34"/>
      <c r="G90" s="41"/>
      <c r="H90" s="41"/>
      <c r="I90" s="41"/>
      <c r="J90" s="59"/>
      <c r="K90" s="43"/>
      <c r="L90" s="43"/>
      <c r="M90" s="44" t="str">
        <f aca="false">IF(AND(U90=1,N90="",AR90&gt;0,AR90&lt;&gt;""),"TODO !","")</f>
        <v/>
      </c>
      <c r="N90" s="111"/>
      <c r="O90" s="61" t="s">
        <v>27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81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82</v>
      </c>
      <c r="O92" s="61"/>
      <c r="P92" s="26" t="s">
        <v>83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84</v>
      </c>
      <c r="C93" s="38" t="s">
        <v>85</v>
      </c>
      <c r="D93" s="39" t="s">
        <v>20</v>
      </c>
      <c r="E93" s="92" t="s">
        <v>86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87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27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88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85</v>
      </c>
      <c r="D95" s="34" t="s">
        <v>30</v>
      </c>
      <c r="E95" s="93" t="s">
        <v>86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21518.125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88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3422.36580516899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85</v>
      </c>
      <c r="D97" s="34" t="s">
        <v>89</v>
      </c>
      <c r="E97" s="93" t="s">
        <v>86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88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85</v>
      </c>
      <c r="D99" s="34" t="s">
        <v>90</v>
      </c>
      <c r="E99" s="93" t="s">
        <v>86</v>
      </c>
      <c r="F99" s="3" t="s">
        <v>55</v>
      </c>
      <c r="G99" s="41"/>
      <c r="H99" s="41"/>
      <c r="I99" s="42"/>
      <c r="J99" s="41"/>
      <c r="K99" s="43" t="s">
        <v>91</v>
      </c>
      <c r="L99" s="43"/>
      <c r="M99" s="44" t="str">
        <f aca="false">IF(AND(U99=1,N99="",AR99&gt;0,AR99&lt;&gt;""),"TODO !","")</f>
        <v/>
      </c>
      <c r="N99" s="129"/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88</v>
      </c>
      <c r="F100" s="3" t="s">
        <v>55</v>
      </c>
      <c r="G100" s="41"/>
      <c r="H100" s="41"/>
      <c r="I100" s="42"/>
      <c r="J100" s="41"/>
      <c r="K100" s="43" t="s">
        <v>91</v>
      </c>
      <c r="L100" s="43"/>
      <c r="M100" s="44" t="str">
        <f aca="false">IF(AND(U100=1,N100="",AR100&gt;0,AR100&lt;&gt;""),"TODO !","")</f>
        <v/>
      </c>
      <c r="N100" s="134"/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92</v>
      </c>
      <c r="C103" s="38" t="s">
        <v>93</v>
      </c>
      <c r="D103" s="39"/>
      <c r="E103" s="137" t="s">
        <v>94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95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96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12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97</v>
      </c>
      <c r="D104" s="139"/>
      <c r="E104" s="137"/>
      <c r="F104" s="34"/>
      <c r="G104" s="41"/>
      <c r="H104" s="41"/>
      <c r="I104" s="41"/>
      <c r="J104" s="41"/>
      <c r="K104" s="35" t="s">
        <v>98</v>
      </c>
      <c r="L104" s="35"/>
      <c r="M104" s="44"/>
      <c r="N104" s="45"/>
      <c r="O104" s="46" t="s">
        <v>23</v>
      </c>
      <c r="P104" s="138" t="s">
        <v>95</v>
      </c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3.2" hidden="false" customHeight="true" outlineLevel="0" collapsed="false">
      <c r="B105" s="22"/>
      <c r="C105" s="82" t="s">
        <v>99</v>
      </c>
      <c r="E105" s="137" t="s">
        <v>100</v>
      </c>
      <c r="F105" s="34"/>
      <c r="G105" s="41"/>
      <c r="H105" s="58"/>
      <c r="I105" s="42"/>
      <c r="J105" s="41"/>
      <c r="K105" s="35" t="s">
        <v>101</v>
      </c>
      <c r="L105" s="35"/>
      <c r="M105" s="44" t="str">
        <f aca="false">IF(AND(U105=1,N105="",AR105&gt;0,AR105&lt;&gt;""),"TODO !","")</f>
        <v/>
      </c>
      <c r="N105" s="140"/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102</v>
      </c>
      <c r="E106" s="137"/>
      <c r="F106" s="34"/>
      <c r="G106" s="41"/>
      <c r="H106" s="58"/>
      <c r="I106" s="42"/>
      <c r="J106" s="41"/>
      <c r="K106" s="35" t="s">
        <v>101</v>
      </c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103</v>
      </c>
      <c r="D107" s="34"/>
      <c r="E107" s="137"/>
      <c r="F107" s="34"/>
      <c r="G107" s="41"/>
      <c r="H107" s="58"/>
      <c r="I107" s="42"/>
      <c r="J107" s="41"/>
      <c r="K107" s="35" t="s">
        <v>101</v>
      </c>
      <c r="L107" s="35"/>
      <c r="M107" s="44" t="str">
        <f aca="false">IF(AND(U107=1,N107="",AR107&gt;0,AR107&lt;&gt;""),"TODO !","")</f>
        <v/>
      </c>
      <c r="N107" s="140"/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104</v>
      </c>
      <c r="D108" s="56"/>
      <c r="E108" s="137"/>
      <c r="F108" s="34"/>
      <c r="G108" s="41"/>
      <c r="H108" s="58"/>
      <c r="I108" s="42"/>
      <c r="J108" s="41"/>
      <c r="K108" s="35" t="s">
        <v>101</v>
      </c>
      <c r="L108" s="35"/>
      <c r="M108" s="44" t="str">
        <f aca="false">IF(AND(U108=1,N108="",AR108&gt;0,AR108&lt;&gt;""),"TODO !","")</f>
        <v/>
      </c>
      <c r="N108" s="140"/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105</v>
      </c>
      <c r="C111" s="38" t="s">
        <v>106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107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108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109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110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111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112</v>
      </c>
      <c r="C117" s="146"/>
      <c r="D117" s="147"/>
      <c r="E117" s="148" t="s">
        <v>113</v>
      </c>
      <c r="G117" s="29" t="s">
        <v>114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115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116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117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118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119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120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121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122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123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124</v>
      </c>
      <c r="E127" s="161"/>
      <c r="G127" s="162" t="n">
        <f aca="false">ROUND(AT132,1)</f>
        <v>4.8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380</v>
      </c>
      <c r="Z127" s="166" t="s">
        <v>125</v>
      </c>
      <c r="AA127" s="167" t="n">
        <f aca="false">AT127</f>
        <v>502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380</v>
      </c>
      <c r="AT127" s="166" t="n">
        <f aca="false">SUM(AT6:AT124)</f>
        <v>502</v>
      </c>
      <c r="AV127" s="168" t="n">
        <f aca="false">SUM(AV6:AV124)</f>
        <v>380</v>
      </c>
      <c r="AW127" s="168" t="n">
        <f aca="false">SUM(AW6:AW124)</f>
        <v>502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126</v>
      </c>
      <c r="AS128" s="2"/>
      <c r="AT128" s="32" t="s">
        <v>127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128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129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130</v>
      </c>
      <c r="Z132" s="175"/>
      <c r="AA132" s="175"/>
      <c r="AB132" s="175"/>
      <c r="AE132" s="176" t="s">
        <v>131</v>
      </c>
      <c r="AF132" s="5"/>
      <c r="AG132" s="5"/>
      <c r="AT132" s="177" t="n">
        <f aca="false">(AT136*AR127)+AT135</f>
        <v>4.78486055776892</v>
      </c>
    </row>
    <row r="133" customFormat="false" ht="13.5" hidden="false" customHeight="true" outlineLevel="0" collapsed="false">
      <c r="M133" s="8" t="s">
        <v>132</v>
      </c>
      <c r="N133" s="8"/>
      <c r="O133" s="8"/>
      <c r="P133" s="8"/>
      <c r="S133" s="8" t="s">
        <v>133</v>
      </c>
      <c r="T133" s="8"/>
      <c r="U133" s="8"/>
      <c r="V133" s="8"/>
      <c r="Y133" s="8" t="s">
        <v>134</v>
      </c>
      <c r="Z133" s="8"/>
      <c r="AA133" s="8"/>
      <c r="AB133" s="8"/>
      <c r="AT133" s="32" t="s">
        <v>124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135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136</v>
      </c>
      <c r="C136" s="40" t="s">
        <v>137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4.8</v>
      </c>
      <c r="T136" s="162"/>
      <c r="U136" s="162"/>
      <c r="V136" s="162"/>
      <c r="Y136" s="182" t="n">
        <f aca="false">MAX(1,MIN(S136,6))</f>
        <v>4.8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138</v>
      </c>
      <c r="AS136" s="186"/>
      <c r="AT136" s="187" t="n">
        <f aca="false">5/AT127</f>
        <v>0.0099601593625498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139</v>
      </c>
      <c r="C137" s="189" t="s">
        <v>140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141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142</v>
      </c>
      <c r="C138" s="192" t="s">
        <v>143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144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145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136</v>
      </c>
      <c r="C142" s="40" t="s">
        <v>137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4.8</v>
      </c>
      <c r="T142" s="162"/>
      <c r="U142" s="162"/>
      <c r="V142" s="162"/>
      <c r="Y142" s="182" t="n">
        <f aca="false">MAX(1,MIN(S142,6))</f>
        <v>4.8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139</v>
      </c>
      <c r="C143" s="189" t="s">
        <v>146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142</v>
      </c>
      <c r="C144" s="192" t="s">
        <v>147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145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148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136</v>
      </c>
      <c r="C148" s="40" t="s">
        <v>149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4.8</v>
      </c>
      <c r="T148" s="162"/>
      <c r="U148" s="162"/>
      <c r="V148" s="162"/>
      <c r="Y148" s="182" t="n">
        <f aca="false">MAX(1,MIN(S148,6))</f>
        <v>4.8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139</v>
      </c>
      <c r="C149" s="189" t="s">
        <v>149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142</v>
      </c>
      <c r="C150" s="189" t="s">
        <v>149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145</v>
      </c>
      <c r="C151" s="195" t="s">
        <v>149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148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150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145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151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152</v>
      </c>
      <c r="O156" s="34"/>
      <c r="P156" s="93"/>
      <c r="Q156" s="21" t="s">
        <v>153</v>
      </c>
    </row>
    <row r="157" customFormat="false" ht="13.2" hidden="false" customHeight="false" outlineLevel="0" collapsed="false">
      <c r="M157" s="82"/>
      <c r="N157" s="34" t="s">
        <v>154</v>
      </c>
      <c r="O157" s="34"/>
      <c r="P157" s="93"/>
      <c r="Q157" s="21" t="s">
        <v>155</v>
      </c>
    </row>
    <row r="158" customFormat="false" ht="13.2" hidden="false" customHeight="false" outlineLevel="0" collapsed="false">
      <c r="M158" s="82" t="s">
        <v>156</v>
      </c>
      <c r="N158" s="34"/>
      <c r="O158" s="34"/>
      <c r="P158" s="93"/>
      <c r="Q158" s="21" t="s">
        <v>155</v>
      </c>
    </row>
    <row r="159" customFormat="false" ht="13.2" hidden="false" customHeight="false" outlineLevel="0" collapsed="false">
      <c r="M159" s="82" t="s">
        <v>157</v>
      </c>
      <c r="N159" s="34"/>
      <c r="O159" s="34"/>
      <c r="P159" s="93"/>
      <c r="Q159" s="21" t="s">
        <v>153</v>
      </c>
    </row>
    <row r="160" customFormat="false" ht="13.2" hidden="false" customHeight="false" outlineLevel="0" collapsed="false">
      <c r="M160" s="82" t="s">
        <v>158</v>
      </c>
      <c r="P160" s="96"/>
      <c r="Q160" s="21" t="s">
        <v>153</v>
      </c>
    </row>
    <row r="161" customFormat="false" ht="13.2" hidden="false" customHeight="false" outlineLevel="0" collapsed="false">
      <c r="M161" s="55" t="s">
        <v>159</v>
      </c>
      <c r="N161" s="132"/>
      <c r="O161" s="132"/>
      <c r="P161" s="199"/>
      <c r="Q161" s="21" t="s">
        <v>155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160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161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n">
        <f aca="false">IF(Y84&lt;&gt;ByStudent!Y84,Y84-ByStudent!Y84,0)</f>
        <v>0</v>
      </c>
      <c r="AD84" s="50"/>
      <c r="AE84" s="74"/>
      <c r="AF84" s="0" t="str">
        <f aca="false">IF(AND(AC84&lt;0,AE84=""),"TODO !","")</f>
        <v/>
      </c>
      <c r="AG84" s="53" t="s">
        <v>78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79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80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n">
        <f aca="false">IF(Y86&lt;&gt;ByStudent!Y86,Y86-ByStudent!Y86,0)</f>
        <v>0</v>
      </c>
      <c r="AD86" s="50"/>
      <c r="AE86" s="74"/>
      <c r="AF86" s="0" t="str">
        <f aca="false">IF(AND(AC86&lt;0,AE86=""),"TODO !","")</f>
        <v/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79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80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n">
        <f aca="false">IF(Y90&lt;&gt;ByStudent!Y90,Y90-ByStudent!Y90,0)</f>
        <v>0</v>
      </c>
      <c r="AD90" s="50"/>
      <c r="AE90" s="74"/>
      <c r="AF90" s="0" t="str">
        <f aca="false">IF(AND(AC90&lt;0,AE90=""),"TODO !","")</f>
        <v/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81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84</v>
      </c>
      <c r="C93" s="38" t="s">
        <v>85</v>
      </c>
      <c r="D93" s="39" t="s">
        <v>20</v>
      </c>
      <c r="E93" s="92" t="s">
        <v>86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87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88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85</v>
      </c>
      <c r="D95" s="34" t="s">
        <v>30</v>
      </c>
      <c r="E95" s="93" t="s">
        <v>86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88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85</v>
      </c>
      <c r="D97" s="34" t="s">
        <v>89</v>
      </c>
      <c r="E97" s="93" t="s">
        <v>86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88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85</v>
      </c>
      <c r="D99" s="34" t="s">
        <v>90</v>
      </c>
      <c r="E99" s="93" t="s">
        <v>86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n">
        <f aca="false">IF(Y99&lt;&gt;ByStudent!Y99,Y99-ByStudent!Y99,0)</f>
        <v>0</v>
      </c>
      <c r="AD99" s="50"/>
      <c r="AE99" s="74"/>
      <c r="AF99" s="0" t="str">
        <f aca="false">IF(AND(AC99&lt;0,AE99=""),"TODO !","")</f>
        <v/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88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n">
        <f aca="false">IF(Y100&lt;&gt;ByStudent!Y100,Y100-ByStudent!Y100,0)</f>
        <v>0</v>
      </c>
      <c r="AD100" s="50"/>
      <c r="AE100" s="74"/>
      <c r="AF100" s="0" t="str">
        <f aca="false">IF(AND(AC100&lt;0,AE100=""),"TODO !","")</f>
        <v/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92</v>
      </c>
      <c r="C103" s="38" t="s">
        <v>93</v>
      </c>
      <c r="D103" s="39"/>
      <c r="E103" s="137" t="s">
        <v>94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96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97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99</v>
      </c>
      <c r="E105" s="137" t="s">
        <v>100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n">
        <f aca="false">IF(Y105&lt;&gt;ByStudent!Y105,Y105-ByStudent!Y105,0)</f>
        <v>0</v>
      </c>
      <c r="AE105" s="208"/>
      <c r="AF105" s="0" t="str">
        <f aca="false">IF(AND(AC105&lt;0,AE105=""),"TODO !","")</f>
        <v/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102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103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n">
        <f aca="false">IF(Y107&lt;&gt;ByStudent!Y107,Y107-ByStudent!Y107,0)</f>
        <v>0</v>
      </c>
      <c r="AE107" s="208"/>
      <c r="AF107" s="0" t="str">
        <f aca="false">IF(AND(AC107&lt;0,AE107=""),"TODO !","")</f>
        <v/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104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n">
        <f aca="false">IF(Y108&lt;&gt;ByStudent!Y108,Y108-ByStudent!Y108,0)</f>
        <v>0</v>
      </c>
      <c r="AE108" s="208"/>
      <c r="AF108" s="0" t="str">
        <f aca="false">IF(AND(AC108&lt;0,AE108=""),"TODO !","")</f>
        <v/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105</v>
      </c>
      <c r="C111" s="38" t="s">
        <v>106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107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108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n">
        <f aca="false">IF(Y112&lt;&gt;ByStudent!Y112,Y112-ByStudent!Y112,0)</f>
        <v>0</v>
      </c>
      <c r="AD112" s="2"/>
      <c r="AE112" s="208"/>
      <c r="AF112" s="0" t="str">
        <f aca="false">IF(AND(AC112&lt;0,AE112=""),"TODO !","")</f>
        <v/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109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n">
        <f aca="false">IF(Y113&lt;&gt;ByStudent!Y113,Y113-ByStudent!Y113,0)</f>
        <v>0</v>
      </c>
      <c r="AD113" s="2"/>
      <c r="AE113" s="208"/>
      <c r="AF113" s="0" t="str">
        <f aca="false">IF(AND(AC113&lt;0,AE113=""),"TODO !","")</f>
        <v/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110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n">
        <f aca="false">IF(Y114&lt;&gt;ByStudent!Y114,Y114-ByStudent!Y114,0)</f>
        <v>0</v>
      </c>
      <c r="AE114" s="208"/>
      <c r="AF114" s="0" t="str">
        <f aca="false">IF(AND(AC114&lt;0,AE114=""),"TODO !","")</f>
        <v/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111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112</v>
      </c>
      <c r="C117" s="146"/>
      <c r="D117" s="147"/>
      <c r="E117" s="148" t="s">
        <v>113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115</v>
      </c>
      <c r="AH117" s="2"/>
      <c r="AI117" s="48" t="n">
        <f aca="false">U117*V117*R117</f>
        <v>0.5</v>
      </c>
      <c r="AJ117" s="2"/>
      <c r="AK117" s="152" t="s">
        <v>162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116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117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118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119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120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121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122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123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163</v>
      </c>
      <c r="AC126" s="212" t="s">
        <v>163</v>
      </c>
    </row>
    <row r="127" customFormat="false" ht="24" hidden="false" customHeight="false" outlineLevel="0" collapsed="false">
      <c r="D127" s="161" t="s">
        <v>124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-3.8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125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126</v>
      </c>
      <c r="AS128" s="2"/>
      <c r="AT128" s="32" t="s">
        <v>127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128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129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130</v>
      </c>
      <c r="Z132" s="175"/>
      <c r="AA132" s="175"/>
      <c r="AB132" s="175"/>
      <c r="AE132" s="176" t="s">
        <v>131</v>
      </c>
      <c r="AF132" s="5"/>
      <c r="AG132" s="5"/>
      <c r="AI132" s="212" t="s">
        <v>163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132</v>
      </c>
      <c r="N133" s="8"/>
      <c r="O133" s="8"/>
      <c r="P133" s="8"/>
      <c r="S133" s="8" t="s">
        <v>133</v>
      </c>
      <c r="T133" s="8"/>
      <c r="U133" s="8"/>
      <c r="V133" s="8"/>
      <c r="Y133" s="8" t="s">
        <v>134</v>
      </c>
      <c r="Z133" s="8"/>
      <c r="AA133" s="8"/>
      <c r="AB133" s="8"/>
      <c r="AT133" s="32" t="s">
        <v>124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135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136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-3.8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138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139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141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142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144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145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136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-3.8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139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142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145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148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136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-3.8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139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142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145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148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150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145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151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152</v>
      </c>
      <c r="O156" s="34"/>
      <c r="P156" s="93"/>
      <c r="Q156" s="21" t="s">
        <v>153</v>
      </c>
    </row>
    <row r="157" customFormat="false" ht="13.2" hidden="false" customHeight="false" outlineLevel="0" collapsed="false">
      <c r="M157" s="82"/>
      <c r="N157" s="34" t="s">
        <v>154</v>
      </c>
      <c r="O157" s="34"/>
      <c r="P157" s="93"/>
      <c r="Q157" s="21" t="s">
        <v>155</v>
      </c>
    </row>
    <row r="158" customFormat="false" ht="13.2" hidden="false" customHeight="false" outlineLevel="0" collapsed="false">
      <c r="M158" s="82" t="s">
        <v>156</v>
      </c>
      <c r="N158" s="34"/>
      <c r="O158" s="34"/>
      <c r="P158" s="93"/>
      <c r="Q158" s="21" t="s">
        <v>155</v>
      </c>
    </row>
    <row r="159" customFormat="false" ht="13.2" hidden="false" customHeight="false" outlineLevel="0" collapsed="false">
      <c r="M159" s="82" t="s">
        <v>157</v>
      </c>
      <c r="N159" s="34"/>
      <c r="O159" s="34"/>
      <c r="P159" s="93"/>
      <c r="Q159" s="21" t="s">
        <v>153</v>
      </c>
    </row>
    <row r="160" customFormat="false" ht="13.2" hidden="false" customHeight="false" outlineLevel="0" collapsed="false">
      <c r="M160" s="82" t="s">
        <v>158</v>
      </c>
      <c r="P160" s="96"/>
      <c r="Q160" s="21" t="s">
        <v>153</v>
      </c>
    </row>
    <row r="161" customFormat="false" ht="13.2" hidden="false" customHeight="false" outlineLevel="0" collapsed="false">
      <c r="M161" s="55" t="s">
        <v>159</v>
      </c>
      <c r="N161" s="132"/>
      <c r="O161" s="132"/>
      <c r="P161" s="199"/>
      <c r="Q161" s="21" t="s">
        <v>155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2023-05-02T09:29:29Z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