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<sst xmlns="http://schemas.openxmlformats.org/spreadsheetml/2006/main" count="609" uniqueCount="159">
  <si>
    <t xml:space="preserve">Performance
Your best score
Benchmarking
Without rendering</t>
  </si>
  <si>
    <r>
      <rPr>
        <b val="true"/>
        <sz val="18"/>
        <color rgb="FF000000"/>
        <rFont val="Arial"/>
        <family val="2"/>
        <charset val="1"/>
      </rPr>
      <t xml:space="preserve">AutoEvaluation</t>
    </r>
    <r>
      <rPr>
        <b val="true"/>
        <sz val="72"/>
        <color rgb="FFFF00FF"/>
        <rFont val="Arial"/>
        <family val="2"/>
        <charset val="1"/>
      </rPr>
      <t xml:space="preserve"> </t>
    </r>
    <r>
      <rPr>
        <b val="true"/>
        <sz val="72"/>
        <color rgb="FFFF0000"/>
        <rFont val="Arial"/>
        <family val="2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</si>
  <si>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</si>
  <si>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</si>
  <si>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</si>
  <si>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</si>
  <si>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</si>
  <si>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</si>
  <si>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</si>
  <si>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</si>
  <si>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</si>
  <si>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</si>
  <si>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</si>
  <si>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</si>
  <si>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</si>
  <si>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</si>
  <si>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</si>
  <si>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</si>
  <si>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</si>
  <si>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</si>
  <si>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</si>
  <si>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</si>
  <si>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</si>
  <si>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</si>
  <si>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</si>
  <si>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</si>
  <si>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</si>
  <si>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</si>
  <si>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</si>
  <si>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</si>
  <si>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</si>
  <si>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</si>
  <si>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</si>
  <si>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</si>
  <si>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</si>
  <si>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</si>
  <si>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</si>
  <si>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</si>
  <si>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</si>
  <si>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</si>
  <si>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</si>
  <si>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</si>
  <si>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</si>
  <si>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</si>
  <si>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</si>
  <si>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</si>
  <si>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</si>
  <si>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</si>
  <si>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</si>
  <si>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</si>
  <si>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</si>
  <si>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2"/>
        <charset val="1"/>
      </rPr>
      <t xml:space="preserve">Test</t>
    </r>
    <r>
      <rPr>
        <sz val="8"/>
        <rFont val="Arial"/>
        <family val="2"/>
        <charset val="1"/>
      </rPr>
      <t xml:space="preserve"> PI</t>
    </r>
  </si>
  <si>
    <r>
      <rPr>
        <sz val="8"/>
        <color rgb="FFFF0000"/>
        <rFont val="Arial"/>
        <family val="2"/>
        <charset val="1"/>
      </rPr>
      <t xml:space="preserve">Test</t>
    </r>
    <r>
      <rPr>
        <sz val="8"/>
        <rFont val="Arial"/>
        <family val="2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</si>
  <si>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</si>
  <si>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</si>
  <si>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</si>
  <si>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</si>
  <si>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</si>
  <si>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</si>
  <si>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</si>
  <si>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</si>
  <si>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</si>
  <si>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</si>
  <si>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</si>
  <si>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</si>
  <si>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</si>
  <si>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</si>
  <si>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</si>
  <si>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</si>
  <si>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</si>
  <si>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</si>
  <si>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</si>
  <si>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</si>
  <si>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</si>
  <si>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</si>
  <si>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</si>
  <si>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</si>
  <si>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</si>
  <si>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</si>
  <si>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</si>
  <si>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</si>
  <si>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</si>
  <si>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</si>
  <si>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</si>
  <si>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</si>
  <si>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</si>
  <si>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</si>
  <si>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</si>
  <si>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Motecarlo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</si>
  <si>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</si>
  <si>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</si>
  <si>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</si>
  <si>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</si>
  <si>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</si>
  <si>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</si>
  <si>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</si>
  <si>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</si>
  <si>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</si>
  <si>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</si>
  <si>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</si>
  <si>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</si>
  <si>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</si>
  <si>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</si>
  <si>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</si>
  <si>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</si>
  <si>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</si>
  <si>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</si>
  <si>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</si>
  <si>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</si>
  <si>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</si>
  <si>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</si>
  <si>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</si>
  <si>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</si>
  <si>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</si>
  <si>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</si>
  <si>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</si>
  <si>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</si>
  <si>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</si>
  <si>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</si>
  <si>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</si>
  <si>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</si>
  <si>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</si>
  <si>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</si>
  <si>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</si>
  <si>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</si>
  <si>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</si>
  <si>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</si>
  <si>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</si>
  <si>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</si>
  <si>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</si>
  <si>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</si>
  <si>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</si>
  <si>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</si>
  <si>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</si>
  <si>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</si>
  <si>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</si>
  <si>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</si>
  <si>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</si>
  <si>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</si>
  <si>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</si>
  <si>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</si>
  <si>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</si>
  <si>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</si>
  <si>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</si>
  <si>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</si>
  <si>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</si>
  <si>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</si>
  <si>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</si>
  <si>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</si>
  <si>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</si>
  <si>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</si>
  <si>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</si>
  <si>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</si>
  <si>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</si>
  <si>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</si>
  <si>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2"/>
        <charset val="1"/>
      </rPr>
      <t xml:space="preserve">Evaluation
</t>
    </r>
    <r>
      <rPr>
        <b val="true"/>
        <sz val="72"/>
        <color rgb="FFFF00FF"/>
        <rFont val="Arial"/>
        <family val="2"/>
        <charset val="1"/>
      </rPr>
      <t xml:space="preserve"> </t>
    </r>
    <r>
      <rPr>
        <b val="true"/>
        <sz val="72"/>
        <color rgb="FFFF0000"/>
        <rFont val="Arial"/>
        <family val="2"/>
        <charset val="1"/>
      </rPr>
      <t xml:space="preserve">ByProf</t>
    </r>
  </si>
  <si>
    <t xml:space="preserve">Justificatifs
Obligatoires
(motivant une auto-évalutaion  2.5 ou 3)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</si>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</sst>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1"/>
      <color rgb="FF000000"/>
      <name val="Calibri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2"/>
      <charset val="1"/>
    </font>
    <font>
      <b val="true"/>
      <sz val="72"/>
      <color rgb="FFFF00FF"/>
      <name val="Arial"/>
      <family val="2"/>
      <charset val="1"/>
    </font>
    <font>
      <b val="true"/>
      <sz val="72"/>
      <color rgb="FFFF0000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FC7CE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8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3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9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3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0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3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9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3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8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4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18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3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3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7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9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3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2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3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3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4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4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2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3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3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3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3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3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3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2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18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3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1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3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17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7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3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1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39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9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0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18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3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0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9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00FFFFFF"/>
      </font>
    </dxf>
    <dxf>
      <font>
        <color rgb="00FFFFFF"/>
      </font>
    </dxf>
    <dxf>
      <font>
        <color rgb="00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00FFFFFF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00FFFFFF"/>
      </font>
    </dxf>
    <dxf>
      <font>
        <color rgb="00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CD5B5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C6EFCE"/>
      <rgbColor rgb="FFD7E4BD"/>
      <rgbColor rgb="FF93CDDD"/>
      <rgbColor rgb="FFFFC7CE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2</xdr:row>
      <xdr:rowOff>28440</xdr:rowOff>
    </xdr:from>
    <xdr:to>
      <xdr:col>26</xdr:col>
      <xdr:colOff>161640</xdr:colOff>
      <xdr:row>60</xdr:row>
      <xdr:rowOff>75600</xdr:rowOff>
    </xdr:to>
    <xdr:sp>
      <xdr:nvSpPr>
        <xdr:cNvPr id="0" name="CustomShape 1"/>
        <xdr:cNvSpPr/>
      </xdr:nvSpPr>
      <xdr:spPr>
        <a:xfrm>
          <a:off x="328680" y="363600"/>
          <a:ext cx="8385120" cy="977040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0</xdr:colOff>
      <xdr:row>61</xdr:row>
      <xdr:rowOff>133200</xdr:rowOff>
    </xdr:from>
    <xdr:to>
      <xdr:col>19</xdr:col>
      <xdr:colOff>47160</xdr:colOff>
      <xdr:row>73</xdr:row>
      <xdr:rowOff>132840</xdr:rowOff>
    </xdr:to>
    <xdr:sp>
      <xdr:nvSpPr>
        <xdr:cNvPr id="1" name="CustomShape 1"/>
        <xdr:cNvSpPr/>
      </xdr:nvSpPr>
      <xdr:spPr>
        <a:xfrm>
          <a:off x="328680" y="10359000"/>
          <a:ext cx="5968080" cy="201132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56880</xdr:colOff>
      <xdr:row>79</xdr:row>
      <xdr:rowOff>152280</xdr:rowOff>
    </xdr:to>
    <xdr:sp>
      <xdr:nvSpPr>
        <xdr:cNvPr id="2" name="CustomShape 1"/>
        <xdr:cNvSpPr/>
      </xdr:nvSpPr>
      <xdr:spPr>
        <a:xfrm>
          <a:off x="295200" y="12649320"/>
          <a:ext cx="5353200" cy="74628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28440</xdr:colOff>
      <xdr:row>96</xdr:row>
      <xdr:rowOff>104760</xdr:rowOff>
    </xdr:from>
    <xdr:to>
      <xdr:col>9</xdr:col>
      <xdr:colOff>218520</xdr:colOff>
      <xdr:row>100</xdr:row>
      <xdr:rowOff>56880</xdr:rowOff>
    </xdr:to>
    <xdr:sp>
      <xdr:nvSpPr>
        <xdr:cNvPr id="3" name="CustomShape 1"/>
        <xdr:cNvSpPr/>
      </xdr:nvSpPr>
      <xdr:spPr>
        <a:xfrm>
          <a:off x="357120" y="16198200"/>
          <a:ext cx="2821680" cy="62244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9360</xdr:colOff>
      <xdr:row>81</xdr:row>
      <xdr:rowOff>85680</xdr:rowOff>
    </xdr:from>
    <xdr:to>
      <xdr:col>8</xdr:col>
      <xdr:colOff>328680</xdr:colOff>
      <xdr:row>85</xdr:row>
      <xdr:rowOff>132840</xdr:rowOff>
    </xdr:to>
    <xdr:sp>
      <xdr:nvSpPr>
        <xdr:cNvPr id="4" name="CustomShape 1"/>
        <xdr:cNvSpPr/>
      </xdr:nvSpPr>
      <xdr:spPr>
        <a:xfrm>
          <a:off x="338040" y="13664520"/>
          <a:ext cx="2621880" cy="71748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171000</xdr:colOff>
      <xdr:row>94</xdr:row>
      <xdr:rowOff>133200</xdr:rowOff>
    </xdr:to>
    <xdr:sp>
      <xdr:nvSpPr>
        <xdr:cNvPr id="5" name="CustomShape 1"/>
        <xdr:cNvSpPr/>
      </xdr:nvSpPr>
      <xdr:spPr>
        <a:xfrm>
          <a:off x="295200" y="14661000"/>
          <a:ext cx="9085680" cy="123012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505080</xdr:rowOff>
    </xdr:from>
    <xdr:to>
      <xdr:col>12</xdr:col>
      <xdr:colOff>456840</xdr:colOff>
      <xdr:row>2</xdr:row>
      <xdr:rowOff>1504800</xdr:rowOff>
    </xdr:to>
    <xdr:sp>
      <xdr:nvSpPr>
        <xdr:cNvPr id="6" name="CustomShape 1"/>
        <xdr:cNvSpPr/>
      </xdr:nvSpPr>
      <xdr:spPr>
        <a:xfrm>
          <a:off x="5401440" y="815400"/>
          <a:ext cx="1490400" cy="99972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171000</xdr:colOff>
      <xdr:row>2</xdr:row>
      <xdr:rowOff>1505160</xdr:rowOff>
    </xdr:from>
    <xdr:to>
      <xdr:col>11</xdr:col>
      <xdr:colOff>333000</xdr:colOff>
      <xdr:row>6</xdr:row>
      <xdr:rowOff>114120</xdr:rowOff>
    </xdr:to>
    <xdr:sp>
      <xdr:nvSpPr>
        <xdr:cNvPr id="7" name="CustomShape 1"/>
        <xdr:cNvSpPr/>
      </xdr:nvSpPr>
      <xdr:spPr>
        <a:xfrm flipH="1">
          <a:off x="5218560" y="1815480"/>
          <a:ext cx="921960" cy="8186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85320</xdr:colOff>
      <xdr:row>2</xdr:row>
      <xdr:rowOff>1505160</xdr:rowOff>
    </xdr:from>
    <xdr:to>
      <xdr:col>11</xdr:col>
      <xdr:colOff>333000</xdr:colOff>
      <xdr:row>15</xdr:row>
      <xdr:rowOff>33120</xdr:rowOff>
    </xdr:to>
    <xdr:sp>
      <xdr:nvSpPr>
        <xdr:cNvPr id="8" name="CustomShape 1"/>
        <xdr:cNvSpPr/>
      </xdr:nvSpPr>
      <xdr:spPr>
        <a:xfrm flipH="1">
          <a:off x="5391360" y="1815480"/>
          <a:ext cx="749160" cy="22269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609480</xdr:rowOff>
    </xdr:from>
    <xdr:to>
      <xdr:col>13</xdr:col>
      <xdr:colOff>438120</xdr:colOff>
      <xdr:row>2</xdr:row>
      <xdr:rowOff>1361520</xdr:rowOff>
    </xdr:to>
    <xdr:sp>
      <xdr:nvSpPr>
        <xdr:cNvPr id="9" name="CustomShape 1"/>
        <xdr:cNvSpPr/>
      </xdr:nvSpPr>
      <xdr:spPr>
        <a:xfrm>
          <a:off x="5401440" y="919800"/>
          <a:ext cx="1973160" cy="752040"/>
        </a:xfrm>
        <a:prstGeom prst="rect">
          <a:avLst/>
        </a:prstGeom>
        <a:solidFill>
          <a:schemeClr val="lt1"/>
        </a:solidFill>
        <a:ln w="9360">
          <a:solidFill>
            <a:schemeClr val="lt1">
              <a:shade val="50000"/>
            </a:schemeClr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170640</xdr:colOff>
      <xdr:row>2</xdr:row>
      <xdr:rowOff>1362240</xdr:rowOff>
    </xdr:from>
    <xdr:to>
      <xdr:col>12</xdr:col>
      <xdr:colOff>27360</xdr:colOff>
      <xdr:row>6</xdr:row>
      <xdr:rowOff>114120</xdr:rowOff>
    </xdr:to>
    <xdr:sp>
      <xdr:nvSpPr>
        <xdr:cNvPr id="10" name="CustomShape 1"/>
        <xdr:cNvSpPr/>
      </xdr:nvSpPr>
      <xdr:spPr>
        <a:xfrm flipH="1">
          <a:off x="5218200" y="1672560"/>
          <a:ext cx="1181160" cy="9615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84960</xdr:colOff>
      <xdr:row>2</xdr:row>
      <xdr:rowOff>1362240</xdr:rowOff>
    </xdr:from>
    <xdr:to>
      <xdr:col>12</xdr:col>
      <xdr:colOff>27360</xdr:colOff>
      <xdr:row>15</xdr:row>
      <xdr:rowOff>28440</xdr:rowOff>
    </xdr:to>
    <xdr:sp>
      <xdr:nvSpPr>
        <xdr:cNvPr id="11" name="CustomShape 1"/>
        <xdr:cNvSpPr/>
      </xdr:nvSpPr>
      <xdr:spPr>
        <a:xfrm flipH="1">
          <a:off x="5391000" y="1672560"/>
          <a:ext cx="1008360" cy="23752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A95" colorId="64" zoomScale="100" zoomScaleNormal="100" zoomScalePageLayoutView="100" workbookViewId="0">
      <selection pane="topLeft" activeCell="K91" activeCellId="0" sqref="K91"/>
    </sheetView>
  </sheetViews>
  <sheetFormatPr defaultRowHeight="13.2" zeroHeight="false" outlineLevelRow="2" outlineLevelCol="1"/>
  <cols>
    <col collapsed="false" customWidth="true" hidden="false" outlineLevel="0" max="1" min="1" style="0" width="3.99"/>
    <col collapsed="false" customWidth="true" hidden="false" outlineLevel="0" max="2" min="2" style="0" width="20.66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6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6"/>
    <col collapsed="false" customWidth="true" hidden="false" outlineLevel="0" max="19" min="18" style="0" width="5.1"/>
    <col collapsed="false" customWidth="true" hidden="false" outlineLevel="0" max="21" min="20" style="0" width="3.99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1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1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6"/>
    <col collapsed="false" customWidth="true" hidden="true" outlineLevel="1" max="42" min="42" style="0" width="5.44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4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9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172255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66</v>
      </c>
      <c r="AW10" s="54" t="n">
        <f aca="false">SUM(AT10:AT17)</f>
        <v>66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172145</v>
      </c>
      <c r="O11" s="46" t="s">
        <v>23</v>
      </c>
      <c r="P11" s="50" t="n">
        <f aca="false">IF(AND(N11&lt;&gt;"",N10&lt;&gt;""),N11/$N$10,"")</f>
        <v>0.999361411860323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172346</v>
      </c>
      <c r="O12" s="46" t="s">
        <v>23</v>
      </c>
      <c r="P12" s="50" t="n">
        <f aca="false">IF(AND(N12&lt;&gt;"",N11&lt;&gt;""),N12/$N$10,"")</f>
        <v>1.00052828655191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 t="str">
        <f aca="false">IF(AND(U13=1,N13="",AR13&gt;0,AR13&lt;&gt;""),"TODO !","")</f>
        <v/>
      </c>
      <c r="N13" s="64"/>
      <c r="O13" s="46"/>
      <c r="P13" s="50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9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M20" s="44" t="str">
        <f aca="false">IF(AND(U20=1,N20="",AR20&gt;0,AR20&lt;&gt;""),"TODO !","")</f>
        <v/>
      </c>
      <c r="N20" s="45"/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50"/>
      <c r="AB20" s="50"/>
      <c r="AC20" s="50"/>
      <c r="AD20" s="50"/>
      <c r="AE20" s="73"/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/>
      <c r="K21" s="43"/>
      <c r="L21" s="43"/>
      <c r="M21" s="44" t="str">
        <f aca="false">IF(AND(U21=1,N21="",AR21&gt;0,AR21&lt;&gt;""),"TODO !","")</f>
        <v/>
      </c>
      <c r="N21" s="45"/>
      <c r="O21" s="46" t="s">
        <v>23</v>
      </c>
      <c r="P21" s="83" t="str">
        <f aca="false">IF(N21&lt;&gt;"",N21/$N$20,"")</f>
        <v/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/>
      <c r="K22" s="43"/>
      <c r="L22" s="43"/>
      <c r="M22" s="44" t="str">
        <f aca="false">IF(AND(U22=1,N22="",AR22&gt;0,AR22&lt;&gt;""),"TODO !","")</f>
        <v/>
      </c>
      <c r="N22" s="45"/>
      <c r="O22" s="46" t="s">
        <v>23</v>
      </c>
      <c r="P22" s="83" t="str">
        <f aca="false">IF(N22&lt;&gt;"",N22/$N$20,"")</f>
        <v/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8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/>
      <c r="K23" s="43"/>
      <c r="L23" s="43"/>
      <c r="M23" s="44" t="str">
        <f aca="false">IF(AND(U23=1,N23="",AR23&gt;0,AR23&lt;&gt;""),"TODO !","")</f>
        <v/>
      </c>
      <c r="N23" s="86"/>
      <c r="O23" s="46" t="s">
        <v>23</v>
      </c>
      <c r="P23" s="87" t="str">
        <f aca="false">IF(N23&lt;&gt;"",N23/$N$20,"")</f>
        <v/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44</v>
      </c>
      <c r="N24" s="45" t="n">
        <f aca="false">MAX(N20:N23)</f>
        <v>0</v>
      </c>
      <c r="O24" s="46" t="s">
        <v>23</v>
      </c>
      <c r="P24" s="83" t="e">
        <f aca="false">IF(N24&lt;&gt;"",N24/$N$20,"")</f>
        <v>#DIV/0!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M26" s="44" t="str">
        <f aca="false">IF(AND(U26=1,N26="",AR26&gt;0,AR26&lt;&gt;""),"TODO !","")</f>
        <v/>
      </c>
      <c r="N26" s="60"/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/>
      <c r="K27" s="43"/>
      <c r="L27" s="43"/>
      <c r="M27" s="44" t="str">
        <f aca="false">IF(AND(U27=1,N27="",AR27&gt;0,AR27&lt;&gt;""),"TODO !","")</f>
        <v/>
      </c>
      <c r="N27" s="60"/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50"/>
      <c r="AB27" s="50"/>
      <c r="AC27" s="50"/>
      <c r="AD27" s="50"/>
      <c r="AE27" s="73"/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/>
      <c r="K28" s="43"/>
      <c r="L28" s="43"/>
      <c r="M28" s="44" t="str">
        <f aca="false">IF(AND(U28=1,N28="",AR28&gt;0,AR28&lt;&gt;""),"TODO !","")</f>
        <v/>
      </c>
      <c r="N28" s="60"/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/>
      <c r="K29" s="43"/>
      <c r="L29" s="43"/>
      <c r="M29" s="44" t="str">
        <f aca="false">IF(AND(U29=1,N29="",AR29&gt;0,AR29&lt;&gt;""),"TODO !","")</f>
        <v/>
      </c>
      <c r="N29" s="60"/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45</v>
      </c>
      <c r="C32" s="38" t="s">
        <v>46</v>
      </c>
      <c r="D32" s="39" t="s">
        <v>47</v>
      </c>
      <c r="E32" s="92" t="s">
        <v>48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49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47</v>
      </c>
      <c r="E33" s="93" t="s">
        <v>50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46</v>
      </c>
      <c r="D35" s="34" t="s">
        <v>47</v>
      </c>
      <c r="E35" s="94" t="s">
        <v>51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14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47</v>
      </c>
      <c r="E36" s="94" t="s">
        <v>52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53</v>
      </c>
      <c r="D38" s="34" t="s">
        <v>47</v>
      </c>
      <c r="E38" s="93" t="s">
        <v>48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47</v>
      </c>
      <c r="E39" s="93" t="s">
        <v>50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54</v>
      </c>
      <c r="E40" s="93" t="s">
        <v>50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53</v>
      </c>
      <c r="D42" s="34" t="s">
        <v>47</v>
      </c>
      <c r="E42" s="94" t="s">
        <v>51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47</v>
      </c>
      <c r="E43" s="94" t="s">
        <v>52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54</v>
      </c>
      <c r="E44" s="97" t="s">
        <v>52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98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55</v>
      </c>
      <c r="C47" s="38" t="s">
        <v>56</v>
      </c>
      <c r="D47" s="39"/>
      <c r="E47" s="92" t="s">
        <v>57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58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59</v>
      </c>
      <c r="D48" s="34"/>
      <c r="E48" s="93" t="s">
        <v>57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60</v>
      </c>
      <c r="D49" s="34"/>
      <c r="E49" s="93" t="s">
        <v>57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56</v>
      </c>
      <c r="D51" s="34"/>
      <c r="E51" s="76" t="s">
        <v>37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16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59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13</v>
      </c>
      <c r="O52" s="61" t="s">
        <v>27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60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9</v>
      </c>
      <c r="O53" s="61" t="s">
        <v>27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61</v>
      </c>
      <c r="C56" s="38" t="s">
        <v>62</v>
      </c>
      <c r="D56" s="39"/>
      <c r="E56" s="92" t="s">
        <v>57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63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64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62</v>
      </c>
      <c r="D57" s="21" t="s">
        <v>65</v>
      </c>
      <c r="E57" s="93" t="s">
        <v>57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63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62</v>
      </c>
      <c r="D58" s="21" t="s">
        <v>66</v>
      </c>
      <c r="E58" s="93" t="s">
        <v>57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63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67</v>
      </c>
      <c r="D60" s="34"/>
      <c r="E60" s="93" t="s">
        <v>57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63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67</v>
      </c>
      <c r="D61" s="21" t="s">
        <v>65</v>
      </c>
      <c r="E61" s="93" t="s">
        <v>57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63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67</v>
      </c>
      <c r="D62" s="21" t="s">
        <v>66</v>
      </c>
      <c r="E62" s="93" t="s">
        <v>57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63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62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62</v>
      </c>
      <c r="D65" s="21" t="s">
        <v>65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62</v>
      </c>
      <c r="D66" s="21" t="s">
        <v>66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67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67</v>
      </c>
      <c r="D69" s="21" t="s">
        <v>65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67</v>
      </c>
      <c r="D70" s="113" t="s">
        <v>66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68</v>
      </c>
      <c r="C73" s="38" t="s">
        <v>69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70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71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72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73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69</v>
      </c>
      <c r="D78" s="34"/>
      <c r="E78" s="118" t="s">
        <v>37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71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72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73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74</v>
      </c>
      <c r="C84" s="38" t="s">
        <v>75</v>
      </c>
      <c r="D84" s="39"/>
      <c r="E84" s="92"/>
      <c r="F84" s="34"/>
      <c r="G84" s="41"/>
      <c r="H84" s="41"/>
      <c r="I84" s="42"/>
      <c r="J84" s="41"/>
      <c r="K84" s="43"/>
      <c r="L84" s="43"/>
      <c r="M84" s="44" t="str">
        <f aca="false">IF(AND(U84=1,N84="",AR84&gt;0,AR84&lt;&gt;""),"TODO !","")</f>
        <v/>
      </c>
      <c r="N84" s="45"/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50"/>
      <c r="AB84" s="50"/>
      <c r="AC84" s="50"/>
      <c r="AD84" s="50"/>
      <c r="AE84" s="73"/>
      <c r="AG84" s="53" t="s">
        <v>76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77</v>
      </c>
      <c r="D85" s="34"/>
      <c r="E85" s="93"/>
      <c r="F85" s="34"/>
      <c r="G85" s="41"/>
      <c r="H85" s="41"/>
      <c r="I85" s="42"/>
      <c r="J85" s="41"/>
      <c r="K85" s="43"/>
      <c r="L85" s="43"/>
      <c r="M85" s="44" t="str">
        <f aca="false">IF(AND(U85=1,N85="",AR85&gt;0,AR85&lt;&gt;""),"TODO !","")</f>
        <v/>
      </c>
      <c r="N85" s="45"/>
      <c r="O85" s="46" t="s">
        <v>23</v>
      </c>
      <c r="P85" s="110" t="str">
        <f aca="false">IF(N85&lt;&gt;"",N85/$N$84,"")</f>
        <v/>
      </c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78</v>
      </c>
      <c r="D86" s="34"/>
      <c r="E86" s="93"/>
      <c r="F86" s="34"/>
      <c r="G86" s="41"/>
      <c r="H86" s="41"/>
      <c r="I86" s="42"/>
      <c r="J86" s="41"/>
      <c r="K86" s="43"/>
      <c r="L86" s="43"/>
      <c r="M86" s="44" t="str">
        <f aca="false">IF(AND(U86=1,N86="",AR86&gt;0,AR86&lt;&gt;""),"TODO !","")</f>
        <v/>
      </c>
      <c r="N86" s="45"/>
      <c r="O86" s="46" t="s">
        <v>23</v>
      </c>
      <c r="P86" s="110" t="str">
        <f aca="false">IF(N86&lt;&gt;"",N86/$N$84,"")</f>
        <v/>
      </c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75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M88" s="44" t="str">
        <f aca="false">IF(AND(U88=1,N88="",AR88&gt;0,AR88&lt;&gt;""),"TODO !","")</f>
        <v/>
      </c>
      <c r="N88" s="111"/>
      <c r="O88" s="61" t="s">
        <v>27</v>
      </c>
      <c r="P88" s="110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77</v>
      </c>
      <c r="D89" s="34"/>
      <c r="E89" s="76"/>
      <c r="F89" s="34"/>
      <c r="G89" s="41"/>
      <c r="H89" s="41"/>
      <c r="I89" s="41"/>
      <c r="J89" s="59"/>
      <c r="K89" s="43"/>
      <c r="L89" s="43"/>
      <c r="M89" s="44" t="str">
        <f aca="false">IF(AND(U89=1,N89="",AR89&gt;0,AR89&lt;&gt;""),"TODO !","")</f>
        <v/>
      </c>
      <c r="N89" s="111"/>
      <c r="O89" s="61" t="s">
        <v>27</v>
      </c>
      <c r="P89" s="110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78</v>
      </c>
      <c r="D90" s="56"/>
      <c r="E90" s="76"/>
      <c r="F90" s="34"/>
      <c r="G90" s="41"/>
      <c r="H90" s="41"/>
      <c r="I90" s="41"/>
      <c r="J90" s="59"/>
      <c r="K90" s="43"/>
      <c r="L90" s="43"/>
      <c r="M90" s="44" t="str">
        <f aca="false">IF(AND(U90=1,N90="",AR90&gt;0,AR90&lt;&gt;""),"TODO !","")</f>
        <v/>
      </c>
      <c r="N90" s="111"/>
      <c r="O90" s="61" t="s">
        <v>27</v>
      </c>
      <c r="P90" s="110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79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80</v>
      </c>
      <c r="O92" s="61"/>
      <c r="P92" s="26" t="s">
        <v>81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false" customHeight="false" outlineLevel="2" collapsed="false">
      <c r="B93" s="99" t="s">
        <v>82</v>
      </c>
      <c r="C93" s="38" t="s">
        <v>83</v>
      </c>
      <c r="D93" s="39" t="s">
        <v>20</v>
      </c>
      <c r="E93" s="92" t="s">
        <v>84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50"/>
      <c r="AB93" s="50"/>
      <c r="AC93" s="50"/>
      <c r="AD93" s="50"/>
      <c r="AE93" s="73"/>
      <c r="AG93" s="53" t="s">
        <v>85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false" customHeight="false" outlineLevel="2" collapsed="false">
      <c r="B94" s="99"/>
      <c r="C94" s="82"/>
      <c r="D94" s="34"/>
      <c r="E94" s="93" t="s">
        <v>86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false" customHeight="false" outlineLevel="2" collapsed="false">
      <c r="B95" s="99"/>
      <c r="C95" s="82" t="s">
        <v>83</v>
      </c>
      <c r="D95" s="34" t="s">
        <v>30</v>
      </c>
      <c r="E95" s="93" t="s">
        <v>84</v>
      </c>
      <c r="F95" s="3" t="s">
        <v>34</v>
      </c>
      <c r="G95" s="41"/>
      <c r="H95" s="41"/>
      <c r="I95" s="42"/>
      <c r="J95" s="41"/>
      <c r="K95" s="43"/>
      <c r="L95" s="43"/>
      <c r="M95" s="44" t="str">
        <f aca="false">IF(AND(U95=1,N95="",AR95&gt;0,AR95&lt;&gt;""),"TODO !","")</f>
        <v/>
      </c>
      <c r="N95" s="124"/>
      <c r="O95" s="46" t="s">
        <v>23</v>
      </c>
      <c r="P95" s="125" t="str">
        <f aca="false">IF(AND(N95&lt;&gt;"",$N$11&lt;&gt;""),$N$11/N95,"")</f>
        <v/>
      </c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false" customHeight="false" outlineLevel="2" collapsed="false">
      <c r="B96" s="99"/>
      <c r="C96" s="82"/>
      <c r="D96" s="34"/>
      <c r="E96" s="93" t="s">
        <v>86</v>
      </c>
      <c r="F96" s="3" t="s">
        <v>34</v>
      </c>
      <c r="G96" s="41"/>
      <c r="H96" s="41"/>
      <c r="I96" s="42"/>
      <c r="J96" s="41"/>
      <c r="K96" s="43"/>
      <c r="L96" s="43"/>
      <c r="M96" s="44" t="str">
        <f aca="false">IF(AND(U96=1,N96="",AR96&gt;0,AR96&lt;&gt;""),"TODO !","")</f>
        <v/>
      </c>
      <c r="N96" s="126"/>
      <c r="O96" s="46" t="s">
        <v>23</v>
      </c>
      <c r="P96" s="128" t="str">
        <f aca="false">IF(AND(N96&lt;&gt;"",$N$11&lt;&gt;""),$N$11/N96,"")</f>
        <v/>
      </c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false" customHeight="false" outlineLevel="2" collapsed="false">
      <c r="B97" s="99"/>
      <c r="C97" s="82" t="s">
        <v>83</v>
      </c>
      <c r="D97" s="34" t="s">
        <v>87</v>
      </c>
      <c r="E97" s="93" t="s">
        <v>84</v>
      </c>
      <c r="F97" s="3"/>
      <c r="G97" s="41"/>
      <c r="H97" s="41"/>
      <c r="I97" s="42"/>
      <c r="J97" s="41"/>
      <c r="K97" s="43"/>
      <c r="L97" s="43"/>
      <c r="M97" s="44" t="str">
        <f aca="false">IF(AND(U97=1,N97="",AR97&gt;0,AR97&lt;&gt;""),"TODO !","")</f>
        <v/>
      </c>
      <c r="N97" s="124"/>
      <c r="O97" s="46" t="s">
        <v>23</v>
      </c>
      <c r="P97" s="125" t="str">
        <f aca="false">IF(AND(N97&lt;&gt;"",$N$11&lt;&gt;""),$N$24/N97,"")</f>
        <v/>
      </c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false" customHeight="false" outlineLevel="2" collapsed="false">
      <c r="B98" s="99"/>
      <c r="C98" s="82"/>
      <c r="D98" s="34"/>
      <c r="E98" s="93" t="s">
        <v>86</v>
      </c>
      <c r="F98" s="3"/>
      <c r="G98" s="41"/>
      <c r="H98" s="41"/>
      <c r="I98" s="42"/>
      <c r="J98" s="41"/>
      <c r="K98" s="43"/>
      <c r="L98" s="43"/>
      <c r="M98" s="44" t="str">
        <f aca="false">IF(AND(U98=1,N98="",AR98&gt;0,AR98&lt;&gt;""),"TODO !","")</f>
        <v/>
      </c>
      <c r="N98" s="126"/>
      <c r="O98" s="46" t="s">
        <v>23</v>
      </c>
      <c r="P98" s="127" t="str">
        <f aca="false">IF(AND(N98&lt;&gt;"",$N$24&lt;&gt;""),$N$24/N98,"")</f>
        <v/>
      </c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false" customHeight="false" outlineLevel="2" collapsed="false">
      <c r="B99" s="99"/>
      <c r="C99" s="82" t="s">
        <v>83</v>
      </c>
      <c r="D99" s="34" t="s">
        <v>88</v>
      </c>
      <c r="E99" s="93" t="s">
        <v>84</v>
      </c>
      <c r="F99" s="3" t="s">
        <v>54</v>
      </c>
      <c r="G99" s="41"/>
      <c r="H99" s="41"/>
      <c r="I99" s="42"/>
      <c r="J99" s="41"/>
      <c r="K99" s="43"/>
      <c r="L99" s="43"/>
      <c r="M99" s="44" t="str">
        <f aca="false">IF(AND(U99=1,N99="",AR99&gt;0,AR99&lt;&gt;""),"TODO !","")</f>
        <v/>
      </c>
      <c r="N99" s="129"/>
      <c r="O99" s="130" t="s">
        <v>63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false" customHeight="false" outlineLevel="2" collapsed="false">
      <c r="B100" s="99"/>
      <c r="C100" s="131"/>
      <c r="D100" s="132"/>
      <c r="E100" s="133" t="s">
        <v>86</v>
      </c>
      <c r="F100" s="3" t="s">
        <v>54</v>
      </c>
      <c r="G100" s="41"/>
      <c r="H100" s="41"/>
      <c r="I100" s="42"/>
      <c r="J100" s="41"/>
      <c r="K100" s="43"/>
      <c r="L100" s="43"/>
      <c r="M100" s="44" t="str">
        <f aca="false">IF(AND(U100=1,N100="",AR100&gt;0,AR100&lt;&gt;""),"TODO !","")</f>
        <v/>
      </c>
      <c r="N100" s="134"/>
      <c r="O100" s="130" t="s">
        <v>63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89</v>
      </c>
      <c r="C103" s="38" t="s">
        <v>90</v>
      </c>
      <c r="D103" s="39"/>
      <c r="E103" s="137" t="s">
        <v>91</v>
      </c>
      <c r="F103" s="34"/>
      <c r="G103" s="41"/>
      <c r="H103" s="41"/>
      <c r="I103" s="41"/>
      <c r="J103" s="41"/>
      <c r="K103" s="35"/>
      <c r="L103" s="35"/>
      <c r="M103" s="44" t="str">
        <f aca="false">IF(AND(U103=1,N103="",AR103&gt;0,AR103&lt;&gt;""),"TODO !","")</f>
        <v/>
      </c>
      <c r="N103" s="45"/>
      <c r="O103" s="46" t="s">
        <v>23</v>
      </c>
      <c r="P103" s="138" t="s">
        <v>92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AE103" s="74"/>
      <c r="AF103" s="0" t="str">
        <f aca="false">IF(AND(J103="x",AE103=""),"TODO !","")</f>
        <v/>
      </c>
      <c r="AG103" s="53" t="s">
        <v>93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94</v>
      </c>
      <c r="D104" s="139"/>
      <c r="E104" s="137"/>
      <c r="F104" s="34"/>
      <c r="G104" s="41"/>
      <c r="H104" s="41"/>
      <c r="I104" s="41"/>
      <c r="J104" s="41"/>
      <c r="K104" s="35"/>
      <c r="L104" s="35"/>
      <c r="M104" s="44"/>
      <c r="N104" s="45"/>
      <c r="O104" s="46" t="s">
        <v>23</v>
      </c>
      <c r="P104" s="138" t="s">
        <v>92</v>
      </c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3.2" hidden="false" customHeight="true" outlineLevel="0" collapsed="false">
      <c r="B105" s="22"/>
      <c r="C105" s="82" t="s">
        <v>95</v>
      </c>
      <c r="E105" s="137" t="s">
        <v>96</v>
      </c>
      <c r="F105" s="34"/>
      <c r="G105" s="41"/>
      <c r="H105" s="58"/>
      <c r="I105" s="42"/>
      <c r="J105" s="41"/>
      <c r="K105" s="35"/>
      <c r="L105" s="35"/>
      <c r="M105" s="44" t="str">
        <f aca="false">IF(AND(U105=1,N105="",AR105&gt;0,AR105&lt;&gt;""),"TODO !","")</f>
        <v/>
      </c>
      <c r="N105" s="140"/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97</v>
      </c>
      <c r="E106" s="137"/>
      <c r="F106" s="34"/>
      <c r="G106" s="41"/>
      <c r="H106" s="58"/>
      <c r="I106" s="42"/>
      <c r="J106" s="41"/>
      <c r="K106" s="35"/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98</v>
      </c>
      <c r="D107" s="34"/>
      <c r="E107" s="137"/>
      <c r="F107" s="34"/>
      <c r="G107" s="41"/>
      <c r="H107" s="58"/>
      <c r="I107" s="42"/>
      <c r="J107" s="41"/>
      <c r="K107" s="35"/>
      <c r="L107" s="35"/>
      <c r="M107" s="44" t="str">
        <f aca="false">IF(AND(U107=1,N107="",AR107&gt;0,AR107&lt;&gt;""),"TODO !","")</f>
        <v/>
      </c>
      <c r="N107" s="140"/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99</v>
      </c>
      <c r="D108" s="56"/>
      <c r="E108" s="137"/>
      <c r="F108" s="34"/>
      <c r="G108" s="41"/>
      <c r="H108" s="58"/>
      <c r="I108" s="42"/>
      <c r="J108" s="41"/>
      <c r="K108" s="35"/>
      <c r="L108" s="35"/>
      <c r="M108" s="44" t="str">
        <f aca="false">IF(AND(U108=1,N108="",AR108&gt;0,AR108&lt;&gt;""),"TODO !","")</f>
        <v/>
      </c>
      <c r="N108" s="140"/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100</v>
      </c>
      <c r="C111" s="38" t="s">
        <v>101</v>
      </c>
      <c r="D111" s="39"/>
      <c r="E111" s="92"/>
      <c r="F111" s="34"/>
      <c r="G111" s="41"/>
      <c r="H111" s="142"/>
      <c r="I111" s="42"/>
      <c r="J111" s="41"/>
      <c r="K111" s="43"/>
      <c r="L111" s="43"/>
      <c r="M111" s="44" t="str">
        <f aca="false">IF(AND(U111=1,N111="",AR111&gt;0,AR111&lt;&gt;""),"TODO !","")</f>
        <v/>
      </c>
      <c r="N111" s="140"/>
      <c r="O111" s="61" t="s">
        <v>27</v>
      </c>
      <c r="P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2"/>
      <c r="AB111" s="2"/>
      <c r="AC111" s="2"/>
      <c r="AD111" s="2"/>
      <c r="AE111" s="141"/>
      <c r="AG111" s="53" t="s">
        <v>102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103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104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105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106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107</v>
      </c>
      <c r="C117" s="146"/>
      <c r="D117" s="147"/>
      <c r="E117" s="148" t="s">
        <v>108</v>
      </c>
      <c r="G117" s="29" t="s">
        <v>109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110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111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112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113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114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115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116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117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118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119</v>
      </c>
      <c r="E127" s="161"/>
      <c r="G127" s="162" t="n">
        <f aca="false">ROUND(AT132,1)</f>
        <v>4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225</v>
      </c>
      <c r="Z127" s="166" t="s">
        <v>120</v>
      </c>
      <c r="AA127" s="167" t="n">
        <f aca="false">AT127</f>
        <v>370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225</v>
      </c>
      <c r="AT127" s="166" t="n">
        <f aca="false">SUM(AT6:AT124)</f>
        <v>370</v>
      </c>
      <c r="AV127" s="168" t="n">
        <f aca="false">SUM(AV6:AV124)</f>
        <v>225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121</v>
      </c>
      <c r="AS128" s="2"/>
      <c r="AT128" s="32" t="s">
        <v>122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123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124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125</v>
      </c>
      <c r="Z132" s="175"/>
      <c r="AA132" s="175"/>
      <c r="AB132" s="175"/>
      <c r="AE132" s="176" t="s">
        <v>126</v>
      </c>
      <c r="AF132" s="5"/>
      <c r="AG132" s="5"/>
      <c r="AT132" s="177" t="n">
        <f aca="false">(AT136*AR127)+AT135</f>
        <v>4.04054054054054</v>
      </c>
    </row>
    <row r="133" customFormat="false" ht="13.5" hidden="false" customHeight="true" outlineLevel="0" collapsed="false">
      <c r="M133" s="8" t="s">
        <v>127</v>
      </c>
      <c r="N133" s="8"/>
      <c r="O133" s="8"/>
      <c r="P133" s="8"/>
      <c r="S133" s="8" t="s">
        <v>128</v>
      </c>
      <c r="T133" s="8"/>
      <c r="U133" s="8"/>
      <c r="V133" s="8"/>
      <c r="Y133" s="8" t="s">
        <v>129</v>
      </c>
      <c r="Z133" s="8"/>
      <c r="AA133" s="8"/>
      <c r="AB133" s="8"/>
      <c r="AT133" s="32" t="s">
        <v>119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130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131</v>
      </c>
      <c r="C136" s="40" t="s">
        <v>132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4</v>
      </c>
      <c r="T136" s="162"/>
      <c r="U136" s="162"/>
      <c r="V136" s="162"/>
      <c r="Y136" s="182" t="n">
        <f aca="false">MAX(1,MIN(S136,6))</f>
        <v>4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133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134</v>
      </c>
      <c r="C137" s="189" t="s">
        <v>135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136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137</v>
      </c>
      <c r="C138" s="192" t="s">
        <v>138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139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140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131</v>
      </c>
      <c r="C142" s="40" t="s">
        <v>132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4</v>
      </c>
      <c r="T142" s="162"/>
      <c r="U142" s="162"/>
      <c r="V142" s="162"/>
      <c r="Y142" s="182" t="n">
        <f aca="false">MAX(1,MIN(S142,6))</f>
        <v>4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134</v>
      </c>
      <c r="C143" s="189" t="s">
        <v>141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137</v>
      </c>
      <c r="C144" s="192" t="s">
        <v>142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140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143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131</v>
      </c>
      <c r="C148" s="40" t="s">
        <v>144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4</v>
      </c>
      <c r="T148" s="162"/>
      <c r="U148" s="162"/>
      <c r="V148" s="162"/>
      <c r="Y148" s="182" t="n">
        <f aca="false">MAX(1,MIN(S148,6))</f>
        <v>4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134</v>
      </c>
      <c r="C149" s="189" t="s">
        <v>144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137</v>
      </c>
      <c r="C150" s="189" t="s">
        <v>144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140</v>
      </c>
      <c r="C151" s="195" t="s">
        <v>144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143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145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140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146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147</v>
      </c>
      <c r="O156" s="34"/>
      <c r="P156" s="93"/>
      <c r="Q156" s="21" t="s">
        <v>148</v>
      </c>
    </row>
    <row r="157" customFormat="false" ht="13.2" hidden="false" customHeight="false" outlineLevel="0" collapsed="false">
      <c r="M157" s="82"/>
      <c r="N157" s="34" t="s">
        <v>149</v>
      </c>
      <c r="O157" s="34"/>
      <c r="P157" s="93"/>
      <c r="Q157" s="21" t="s">
        <v>150</v>
      </c>
    </row>
    <row r="158" customFormat="false" ht="13.2" hidden="false" customHeight="false" outlineLevel="0" collapsed="false">
      <c r="M158" s="82" t="s">
        <v>151</v>
      </c>
      <c r="N158" s="34"/>
      <c r="O158" s="34"/>
      <c r="P158" s="93"/>
      <c r="Q158" s="21" t="s">
        <v>150</v>
      </c>
    </row>
    <row r="159" customFormat="false" ht="13.2" hidden="false" customHeight="false" outlineLevel="0" collapsed="false">
      <c r="M159" s="82" t="s">
        <v>152</v>
      </c>
      <c r="N159" s="34"/>
      <c r="O159" s="34"/>
      <c r="P159" s="93"/>
      <c r="Q159" s="21" t="s">
        <v>148</v>
      </c>
    </row>
    <row r="160" customFormat="false" ht="13.2" hidden="false" customHeight="false" outlineLevel="0" collapsed="false">
      <c r="M160" s="82" t="s">
        <v>153</v>
      </c>
      <c r="P160" s="96"/>
      <c r="Q160" s="21" t="s">
        <v>148</v>
      </c>
    </row>
    <row r="161" customFormat="false" ht="13.2" hidden="false" customHeight="false" outlineLevel="0" collapsed="false">
      <c r="M161" s="55" t="s">
        <v>154</v>
      </c>
      <c r="N161" s="132"/>
      <c r="O161" s="132"/>
      <c r="P161" s="199"/>
      <c r="Q161" s="21" t="s">
        <v>150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1"/>
  </conditionalFormatting>
  <conditionalFormatting sqref="M140:P140">
    <cfRule type="cellIs" priority="4" operator="equal" aboveAverage="0" equalAverage="0" bottom="0" percent="0" rank="0" text="" dxfId="2">
      <formula>"max 0.5"</formula>
    </cfRule>
  </conditionalFormatting>
  <conditionalFormatting sqref="M146:P146">
    <cfRule type="cellIs" priority="5" operator="equal" aboveAverage="0" equalAverage="0" bottom="0" percent="0" rank="0" text="" dxfId="3">
      <formula>"max 0.5"</formula>
    </cfRule>
  </conditionalFormatting>
  <conditionalFormatting sqref="M152:P152">
    <cfRule type="cellIs" priority="6" operator="equal" aboveAverage="0" equalAverage="0" bottom="0" percent="0" rank="0" text="" dxfId="4">
      <formula>"max 0.5"</formula>
    </cfRule>
  </conditionalFormatting>
  <conditionalFormatting sqref="P11:P12">
    <cfRule type="cellIs" priority="7" operator="lessThan" aboveAverage="0" equalAverage="0" bottom="0" percent="0" rank="0" text="" dxfId="5">
      <formula>1</formula>
    </cfRule>
  </conditionalFormatting>
  <conditionalFormatting sqref="P21:P24">
    <cfRule type="cellIs" priority="8" operator="lessThan" aboveAverage="0" equalAverage="0" bottom="0" percent="0" rank="0" text="" dxfId="6">
      <formula>1</formula>
    </cfRule>
    <cfRule type="cellIs" priority="9" operator="lessThan" aboveAverage="0" equalAverage="0" bottom="0" percent="0" rank="0" text="" dxfId="7">
      <formula>0.5</formula>
    </cfRule>
    <cfRule type="cellIs" priority="10" operator="lessThan" aboveAverage="0" equalAverage="0" bottom="0" percent="0" rank="0" text="" dxfId="8">
      <formula>1</formula>
    </cfRule>
  </conditionalFormatting>
  <conditionalFormatting sqref="P48:P49">
    <cfRule type="cellIs" priority="11" operator="lessThan" aboveAverage="0" equalAverage="0" bottom="0" percent="0" rank="0" text="" dxfId="9">
      <formula>1</formula>
    </cfRule>
  </conditionalFormatting>
  <conditionalFormatting sqref="P52:P53">
    <cfRule type="cellIs" priority="12" operator="lessThan" aboveAverage="0" equalAverage="0" bottom="0" percent="0" rank="0" text="" dxfId="10">
      <formula>1</formula>
    </cfRule>
  </conditionalFormatting>
  <conditionalFormatting sqref="P57:P58">
    <cfRule type="cellIs" priority="13" operator="lessThan" aboveAverage="0" equalAverage="0" bottom="0" percent="0" rank="0" text="" dxfId="11">
      <formula>1</formula>
    </cfRule>
  </conditionalFormatting>
  <conditionalFormatting sqref="P61:P62">
    <cfRule type="cellIs" priority="14" operator="lessThan" aboveAverage="0" equalAverage="0" bottom="0" percent="0" rank="0" text="" dxfId="12">
      <formula>1</formula>
    </cfRule>
  </conditionalFormatting>
  <conditionalFormatting sqref="P85:P86">
    <cfRule type="cellIs" priority="15" operator="lessThan" aboveAverage="0" equalAverage="0" bottom="0" percent="0" rank="0" text="" dxfId="13">
      <formula>1</formula>
    </cfRule>
  </conditionalFormatting>
  <conditionalFormatting sqref="P93:P100">
    <cfRule type="cellIs" priority="16" operator="lessThan" aboveAverage="0" equalAverage="0" bottom="0" percent="0" rank="0" text="" dxfId="1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15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16"/>
  </conditionalFormatting>
  <conditionalFormatting sqref="AI3:AI4">
    <cfRule type="cellIs" priority="19" operator="equal" aboveAverage="0" equalAverage="0" bottom="0" percent="0" rank="0" text="" dxfId="17">
      <formula>1</formula>
    </cfRule>
  </conditionalFormatting>
  <conditionalFormatting sqref="AK4:AT4 AR137">
    <cfRule type="cellIs" priority="20" operator="equal" aboveAverage="0" equalAverage="0" bottom="0" percent="0" rank="0" text="" dxfId="18">
      <formula>1</formula>
    </cfRule>
  </conditionalFormatting>
  <conditionalFormatting sqref="AV4:AW4">
    <cfRule type="cellIs" priority="21" operator="equal" aboveAverage="0" equalAverage="0" bottom="0" percent="0" rank="0" text="" dxfId="19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25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9"/>
    <col collapsed="false" customWidth="true" hidden="false" outlineLevel="0" max="2" min="2" style="0" width="20.66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6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6"/>
    <col collapsed="false" customWidth="true" hidden="false" outlineLevel="0" max="19" min="18" style="0" width="5.1"/>
    <col collapsed="false" customWidth="true" hidden="false" outlineLevel="0" max="21" min="20" style="0" width="3.99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1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1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6"/>
    <col collapsed="false" customWidth="true" hidden="true" outlineLevel="1" max="42" min="42" style="0" width="5.44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4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155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156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n">
        <f aca="false">IF(Y13&lt;&gt;ByStudent!Y13,Y13-ByStudent!Y13,0)</f>
        <v>0</v>
      </c>
      <c r="AD13" s="50"/>
      <c r="AE13" s="206"/>
      <c r="AF13" s="0" t="str">
        <f aca="false">IF(AND(AC13&lt;0,AE13=""),"TODO !","")</f>
        <v/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n">
        <f aca="false">IF(Y20&lt;&gt;ByStudent!Y20,Y20-ByStudent!Y20,0)</f>
        <v>0</v>
      </c>
      <c r="AD20" s="50"/>
      <c r="AE20" s="74"/>
      <c r="AF20" s="0" t="str">
        <f aca="false">IF(AND(AC20&lt;0,AE20=""),"TODO !","")</f>
        <v/>
      </c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n">
        <f aca="false">IF(Y21&lt;&gt;ByStudent!Y21,Y21-ByStudent!Y21,0)</f>
        <v>0</v>
      </c>
      <c r="AD21" s="50"/>
      <c r="AE21" s="74"/>
      <c r="AF21" s="0" t="str">
        <f aca="false">IF(AND(AC21&lt;0,AE21=""),"TODO !","")</f>
        <v/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n">
        <f aca="false">IF(Y22&lt;&gt;ByStudent!Y22,Y22-ByStudent!Y22,0)</f>
        <v>0</v>
      </c>
      <c r="AD22" s="50"/>
      <c r="AE22" s="206"/>
      <c r="AF22" s="0" t="str">
        <f aca="false">IF(AND(AC22&lt;0,AE22=""),"TODO !","")</f>
        <v/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n">
        <f aca="false">IF(Y23&lt;&gt;ByStudent!Y23,Y23-ByStudent!Y23,0)</f>
        <v>0</v>
      </c>
      <c r="AD23" s="50"/>
      <c r="AE23" s="74"/>
      <c r="AF23" s="0" t="str">
        <f aca="false">IF(AND(AC23&lt;0,AE23=""),"TODO !","")</f>
        <v/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n">
        <f aca="false">IF(Y26&lt;&gt;ByStudent!Y26,Y26-ByStudent!Y26,0)</f>
        <v>0</v>
      </c>
      <c r="AD26" s="50"/>
      <c r="AE26" s="74"/>
      <c r="AF26" s="0" t="str">
        <f aca="false">IF(AND(AC26&lt;0,AE26=""),"TODO !","")</f>
        <v/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n">
        <f aca="false">IF(Y27&lt;&gt;ByStudent!Y27,Y27-ByStudent!Y27,0)</f>
        <v>0</v>
      </c>
      <c r="AD27" s="50"/>
      <c r="AE27" s="74"/>
      <c r="AF27" s="0" t="str">
        <f aca="false">IF(AND(AC27&lt;0,AE27=""),"TODO !","")</f>
        <v/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n">
        <f aca="false">IF(Y28&lt;&gt;ByStudent!Y28,Y28-ByStudent!Y28,0)</f>
        <v>0</v>
      </c>
      <c r="AD28" s="50"/>
      <c r="AE28" s="74"/>
      <c r="AF28" s="0" t="str">
        <f aca="false">IF(AND(AC28&lt;0,AE28=""),"TODO !","")</f>
        <v/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n">
        <f aca="false">IF(Y29&lt;&gt;ByStudent!Y29,Y29-ByStudent!Y29,0)</f>
        <v>0</v>
      </c>
      <c r="AD29" s="50"/>
      <c r="AE29" s="74"/>
      <c r="AF29" s="0" t="str">
        <f aca="false">IF(AND(AC29&lt;0,AE29=""),"TODO !","")</f>
        <v/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45</v>
      </c>
      <c r="C32" s="38" t="s">
        <v>46</v>
      </c>
      <c r="D32" s="39" t="s">
        <v>47</v>
      </c>
      <c r="E32" s="92" t="s">
        <v>48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49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47</v>
      </c>
      <c r="E33" s="93" t="s">
        <v>50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46</v>
      </c>
      <c r="D35" s="34" t="s">
        <v>47</v>
      </c>
      <c r="E35" s="94" t="s">
        <v>51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47</v>
      </c>
      <c r="E36" s="94" t="s">
        <v>52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53</v>
      </c>
      <c r="D38" s="34" t="s">
        <v>47</v>
      </c>
      <c r="E38" s="93" t="s">
        <v>48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47</v>
      </c>
      <c r="E39" s="93" t="s">
        <v>50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54</v>
      </c>
      <c r="E40" s="93" t="s">
        <v>50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53</v>
      </c>
      <c r="D42" s="34" t="s">
        <v>47</v>
      </c>
      <c r="E42" s="94" t="s">
        <v>51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47</v>
      </c>
      <c r="E43" s="94" t="s">
        <v>52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54</v>
      </c>
      <c r="E44" s="97" t="s">
        <v>52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55</v>
      </c>
      <c r="C47" s="38" t="s">
        <v>56</v>
      </c>
      <c r="D47" s="39"/>
      <c r="E47" s="92" t="s">
        <v>57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58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59</v>
      </c>
      <c r="D48" s="34"/>
      <c r="E48" s="93" t="s">
        <v>57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60</v>
      </c>
      <c r="D49" s="34"/>
      <c r="E49" s="93" t="s">
        <v>57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56</v>
      </c>
      <c r="D51" s="34"/>
      <c r="E51" s="76" t="s">
        <v>37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59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60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61</v>
      </c>
      <c r="C56" s="38" t="s">
        <v>62</v>
      </c>
      <c r="D56" s="39"/>
      <c r="E56" s="92" t="s">
        <v>57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64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62</v>
      </c>
      <c r="D57" s="21" t="s">
        <v>65</v>
      </c>
      <c r="E57" s="93" t="s">
        <v>57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62</v>
      </c>
      <c r="D58" s="21" t="s">
        <v>66</v>
      </c>
      <c r="E58" s="93" t="s">
        <v>57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67</v>
      </c>
      <c r="D60" s="34"/>
      <c r="E60" s="93" t="s">
        <v>57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67</v>
      </c>
      <c r="D61" s="21" t="s">
        <v>65</v>
      </c>
      <c r="E61" s="93" t="s">
        <v>57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67</v>
      </c>
      <c r="D62" s="21" t="s">
        <v>66</v>
      </c>
      <c r="E62" s="93" t="s">
        <v>57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62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62</v>
      </c>
      <c r="D65" s="21" t="s">
        <v>65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62</v>
      </c>
      <c r="D66" s="21" t="s">
        <v>66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67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67</v>
      </c>
      <c r="D69" s="21" t="s">
        <v>65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67</v>
      </c>
      <c r="D70" s="113" t="s">
        <v>66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68</v>
      </c>
      <c r="C73" s="38" t="s">
        <v>69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70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71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72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73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69</v>
      </c>
      <c r="D78" s="34"/>
      <c r="E78" s="118" t="s">
        <v>37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71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72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73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74</v>
      </c>
      <c r="C84" s="38" t="s">
        <v>75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n">
        <f aca="false">IF(Y84&lt;&gt;ByStudent!Y84,Y84-ByStudent!Y84,0)</f>
        <v>0</v>
      </c>
      <c r="AD84" s="50"/>
      <c r="AE84" s="74"/>
      <c r="AF84" s="0" t="str">
        <f aca="false">IF(AND(AC84&lt;0,AE84=""),"TODO !","")</f>
        <v/>
      </c>
      <c r="AG84" s="53" t="s">
        <v>76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77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n">
        <f aca="false">IF(Y85&lt;&gt;ByStudent!Y85,Y85-ByStudent!Y85,0)</f>
        <v>0</v>
      </c>
      <c r="AD85" s="50"/>
      <c r="AE85" s="74"/>
      <c r="AF85" s="0" t="str">
        <f aca="false">IF(AND(AC85&lt;0,AE85=""),"TODO !","")</f>
        <v/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78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n">
        <f aca="false">IF(Y86&lt;&gt;ByStudent!Y86,Y86-ByStudent!Y86,0)</f>
        <v>0</v>
      </c>
      <c r="AD86" s="50"/>
      <c r="AE86" s="74"/>
      <c r="AF86" s="0" t="str">
        <f aca="false">IF(AND(AC86&lt;0,AE86=""),"TODO !","")</f>
        <v/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75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n">
        <f aca="false">IF(Y88&lt;&gt;ByStudent!Y88,Y88-ByStudent!Y88,0)</f>
        <v>0</v>
      </c>
      <c r="AD88" s="50"/>
      <c r="AE88" s="74"/>
      <c r="AF88" s="0" t="str">
        <f aca="false">IF(AND(AC88&lt;0,AE88=""),"TODO !","")</f>
        <v/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77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n">
        <f aca="false">IF(Y89&lt;&gt;ByStudent!Y89,Y89-ByStudent!Y89,0)</f>
        <v>0</v>
      </c>
      <c r="AD89" s="50"/>
      <c r="AE89" s="74"/>
      <c r="AF89" s="0" t="str">
        <f aca="false">IF(AND(AC89&lt;0,AE89=""),"TODO !","")</f>
        <v/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78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n">
        <f aca="false">IF(Y90&lt;&gt;ByStudent!Y90,Y90-ByStudent!Y90,0)</f>
        <v>0</v>
      </c>
      <c r="AD90" s="50"/>
      <c r="AE90" s="74"/>
      <c r="AF90" s="0" t="str">
        <f aca="false">IF(AND(AC90&lt;0,AE90=""),"TODO !","")</f>
        <v/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79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82</v>
      </c>
      <c r="C93" s="38" t="s">
        <v>83</v>
      </c>
      <c r="D93" s="39" t="s">
        <v>20</v>
      </c>
      <c r="E93" s="92" t="s">
        <v>84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n">
        <f aca="false">IF(Y93&lt;&gt;ByStudent!Y93,Y93-ByStudent!Y93,0)</f>
        <v>0</v>
      </c>
      <c r="AD93" s="50"/>
      <c r="AE93" s="74"/>
      <c r="AF93" s="0" t="str">
        <f aca="false">IF(AND(AC93&lt;0,AE93=""),"TODO !","")</f>
        <v/>
      </c>
      <c r="AG93" s="53" t="s">
        <v>85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86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n">
        <f aca="false">IF(Y94&lt;&gt;ByStudent!Y94,Y94-ByStudent!Y94,0)</f>
        <v>0</v>
      </c>
      <c r="AD94" s="50"/>
      <c r="AE94" s="74"/>
      <c r="AF94" s="0" t="str">
        <f aca="false">IF(AND(AC94&lt;0,AE94=""),"TODO !","")</f>
        <v/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83</v>
      </c>
      <c r="D95" s="34" t="s">
        <v>30</v>
      </c>
      <c r="E95" s="93" t="s">
        <v>84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n">
        <f aca="false">IF(Y95&lt;&gt;ByStudent!Y95,Y95-ByStudent!Y95,0)</f>
        <v>0</v>
      </c>
      <c r="AD95" s="50"/>
      <c r="AE95" s="74"/>
      <c r="AF95" s="0" t="str">
        <f aca="false">IF(AND(AC95&lt;0,AE95=""),"TODO !","")</f>
        <v/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86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n">
        <f aca="false">IF(Y96&lt;&gt;ByStudent!Y96,Y96-ByStudent!Y96,0)</f>
        <v>0</v>
      </c>
      <c r="AD96" s="50"/>
      <c r="AE96" s="74"/>
      <c r="AF96" s="0" t="str">
        <f aca="false">IF(AND(AC96&lt;0,AE96=""),"TODO !","")</f>
        <v/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83</v>
      </c>
      <c r="D97" s="34" t="s">
        <v>87</v>
      </c>
      <c r="E97" s="93" t="s">
        <v>84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n">
        <f aca="false">IF(Y97&lt;&gt;ByStudent!Y97,Y97-ByStudent!Y97,0)</f>
        <v>0</v>
      </c>
      <c r="AD97" s="50"/>
      <c r="AE97" s="74"/>
      <c r="AF97" s="0" t="str">
        <f aca="false">IF(AND(AC97&lt;0,AE97=""),"TODO !","")</f>
        <v/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86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n">
        <f aca="false">IF(Y98&lt;&gt;ByStudent!Y98,Y98-ByStudent!Y98,0)</f>
        <v>0</v>
      </c>
      <c r="AD98" s="50"/>
      <c r="AE98" s="74"/>
      <c r="AF98" s="0" t="str">
        <f aca="false">IF(AND(AC98&lt;0,AE98=""),"TODO !","")</f>
        <v/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83</v>
      </c>
      <c r="D99" s="34" t="s">
        <v>88</v>
      </c>
      <c r="E99" s="93" t="s">
        <v>84</v>
      </c>
      <c r="F99" s="3" t="s">
        <v>54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n">
        <f aca="false">IF(Y99&lt;&gt;ByStudent!Y99,Y99-ByStudent!Y99,0)</f>
        <v>0</v>
      </c>
      <c r="AD99" s="50"/>
      <c r="AE99" s="74"/>
      <c r="AF99" s="0" t="str">
        <f aca="false">IF(AND(AC99&lt;0,AE99=""),"TODO !","")</f>
        <v/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86</v>
      </c>
      <c r="F100" s="3" t="s">
        <v>54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n">
        <f aca="false">IF(Y100&lt;&gt;ByStudent!Y100,Y100-ByStudent!Y100,0)</f>
        <v>0</v>
      </c>
      <c r="AD100" s="50"/>
      <c r="AE100" s="74"/>
      <c r="AF100" s="0" t="str">
        <f aca="false">IF(AND(AC100&lt;0,AE100=""),"TODO !","")</f>
        <v/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89</v>
      </c>
      <c r="C103" s="38" t="s">
        <v>90</v>
      </c>
      <c r="D103" s="39"/>
      <c r="E103" s="137" t="s">
        <v>91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n">
        <f aca="false">IF(Y103&lt;&gt;ByStudent!Y103,Y103-ByStudent!Y103,0)</f>
        <v>0</v>
      </c>
      <c r="AE103" s="74"/>
      <c r="AF103" s="0" t="str">
        <f aca="false">IF(AND(AC103&lt;0,AE103=""),"TODO !","")</f>
        <v/>
      </c>
      <c r="AG103" s="53" t="s">
        <v>93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94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95</v>
      </c>
      <c r="E105" s="137" t="s">
        <v>96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n">
        <f aca="false">IF(Y105&lt;&gt;ByStudent!Y105,Y105-ByStudent!Y105,0)</f>
        <v>0</v>
      </c>
      <c r="AE105" s="208"/>
      <c r="AF105" s="0" t="str">
        <f aca="false">IF(AND(AC105&lt;0,AE105=""),"TODO !","")</f>
        <v/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97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98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n">
        <f aca="false">IF(Y107&lt;&gt;ByStudent!Y107,Y107-ByStudent!Y107,0)</f>
        <v>0</v>
      </c>
      <c r="AE107" s="208"/>
      <c r="AF107" s="0" t="str">
        <f aca="false">IF(AND(AC107&lt;0,AE107=""),"TODO !","")</f>
        <v/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99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n">
        <f aca="false">IF(Y108&lt;&gt;ByStudent!Y108,Y108-ByStudent!Y108,0)</f>
        <v>0</v>
      </c>
      <c r="AE108" s="208"/>
      <c r="AF108" s="0" t="str">
        <f aca="false">IF(AND(AC108&lt;0,AE108=""),"TODO !","")</f>
        <v/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100</v>
      </c>
      <c r="C111" s="38" t="s">
        <v>101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n">
        <f aca="false">IF(Y111&lt;&gt;ByStudent!Y111,Y111-ByStudent!Y111,0)</f>
        <v>0</v>
      </c>
      <c r="AD111" s="2"/>
      <c r="AE111" s="208"/>
      <c r="AF111" s="0" t="str">
        <f aca="false">IF(AND(AC111&lt;0,AE111=""),"TODO !","")</f>
        <v/>
      </c>
      <c r="AG111" s="53" t="s">
        <v>102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103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n">
        <f aca="false">IF(Y112&lt;&gt;ByStudent!Y112,Y112-ByStudent!Y112,0)</f>
        <v>0</v>
      </c>
      <c r="AD112" s="2"/>
      <c r="AE112" s="208"/>
      <c r="AF112" s="0" t="str">
        <f aca="false">IF(AND(AC112&lt;0,AE112=""),"TODO !","")</f>
        <v/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104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n">
        <f aca="false">IF(Y113&lt;&gt;ByStudent!Y113,Y113-ByStudent!Y113,0)</f>
        <v>0</v>
      </c>
      <c r="AD113" s="2"/>
      <c r="AE113" s="208"/>
      <c r="AF113" s="0" t="str">
        <f aca="false">IF(AND(AC113&lt;0,AE113=""),"TODO !","")</f>
        <v/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105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n">
        <f aca="false">IF(Y114&lt;&gt;ByStudent!Y114,Y114-ByStudent!Y114,0)</f>
        <v>0</v>
      </c>
      <c r="AE114" s="208"/>
      <c r="AF114" s="0" t="str">
        <f aca="false">IF(AND(AC114&lt;0,AE114=""),"TODO !","")</f>
        <v/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106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107</v>
      </c>
      <c r="C117" s="146"/>
      <c r="D117" s="147"/>
      <c r="E117" s="148" t="s">
        <v>108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110</v>
      </c>
      <c r="AH117" s="2"/>
      <c r="AI117" s="48" t="n">
        <f aca="false">U117*V117*R117</f>
        <v>0.5</v>
      </c>
      <c r="AJ117" s="2"/>
      <c r="AK117" s="152" t="s">
        <v>157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111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112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113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114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115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116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117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118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158</v>
      </c>
      <c r="AC126" s="212" t="s">
        <v>158</v>
      </c>
    </row>
    <row r="127" customFormat="false" ht="24" hidden="false" customHeight="false" outlineLevel="0" collapsed="false">
      <c r="D127" s="161" t="s">
        <v>119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-3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120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121</v>
      </c>
      <c r="AS128" s="2"/>
      <c r="AT128" s="32" t="s">
        <v>122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123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124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125</v>
      </c>
      <c r="Z132" s="175"/>
      <c r="AA132" s="175"/>
      <c r="AB132" s="175"/>
      <c r="AE132" s="176" t="s">
        <v>126</v>
      </c>
      <c r="AF132" s="5"/>
      <c r="AG132" s="5"/>
      <c r="AI132" s="212" t="s">
        <v>158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127</v>
      </c>
      <c r="N133" s="8"/>
      <c r="O133" s="8"/>
      <c r="P133" s="8"/>
      <c r="S133" s="8" t="s">
        <v>128</v>
      </c>
      <c r="T133" s="8"/>
      <c r="U133" s="8"/>
      <c r="V133" s="8"/>
      <c r="Y133" s="8" t="s">
        <v>129</v>
      </c>
      <c r="Z133" s="8"/>
      <c r="AA133" s="8"/>
      <c r="AB133" s="8"/>
      <c r="AT133" s="32" t="s">
        <v>119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130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131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-3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133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134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136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137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139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140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131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-3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134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137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140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143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131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-3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134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137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140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143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145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140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146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147</v>
      </c>
      <c r="O156" s="34"/>
      <c r="P156" s="93"/>
      <c r="Q156" s="21" t="s">
        <v>148</v>
      </c>
    </row>
    <row r="157" customFormat="false" ht="13.2" hidden="false" customHeight="false" outlineLevel="0" collapsed="false">
      <c r="M157" s="82"/>
      <c r="N157" s="34" t="s">
        <v>149</v>
      </c>
      <c r="O157" s="34"/>
      <c r="P157" s="93"/>
      <c r="Q157" s="21" t="s">
        <v>150</v>
      </c>
    </row>
    <row r="158" customFormat="false" ht="13.2" hidden="false" customHeight="false" outlineLevel="0" collapsed="false">
      <c r="M158" s="82" t="s">
        <v>151</v>
      </c>
      <c r="N158" s="34"/>
      <c r="O158" s="34"/>
      <c r="P158" s="93"/>
      <c r="Q158" s="21" t="s">
        <v>150</v>
      </c>
    </row>
    <row r="159" customFormat="false" ht="13.2" hidden="false" customHeight="false" outlineLevel="0" collapsed="false">
      <c r="M159" s="82" t="s">
        <v>152</v>
      </c>
      <c r="N159" s="34"/>
      <c r="O159" s="34"/>
      <c r="P159" s="93"/>
      <c r="Q159" s="21" t="s">
        <v>148</v>
      </c>
    </row>
    <row r="160" customFormat="false" ht="13.2" hidden="false" customHeight="false" outlineLevel="0" collapsed="false">
      <c r="M160" s="82" t="s">
        <v>153</v>
      </c>
      <c r="P160" s="96"/>
      <c r="Q160" s="21" t="s">
        <v>148</v>
      </c>
    </row>
    <row r="161" customFormat="false" ht="13.2" hidden="false" customHeight="false" outlineLevel="0" collapsed="false">
      <c r="M161" s="55" t="s">
        <v>154</v>
      </c>
      <c r="N161" s="132"/>
      <c r="O161" s="132"/>
      <c r="P161" s="199"/>
      <c r="Q161" s="21" t="s">
        <v>150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1">
      <formula>0</formula>
    </cfRule>
    <cfRule type="cellIs" priority="4" operator="greaterThan" aboveAverage="0" equalAverage="0" bottom="0" percent="0" rank="0" text="" dxfId="2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3"/>
  </conditionalFormatting>
  <conditionalFormatting sqref="M140:P140">
    <cfRule type="cellIs" priority="6" operator="equal" aboveAverage="0" equalAverage="0" bottom="0" percent="0" rank="0" text="" dxfId="4">
      <formula>"max 0.5"</formula>
    </cfRule>
  </conditionalFormatting>
  <conditionalFormatting sqref="M146:P146">
    <cfRule type="cellIs" priority="7" operator="equal" aboveAverage="0" equalAverage="0" bottom="0" percent="0" rank="0" text="" dxfId="5">
      <formula>"max 0.5"</formula>
    </cfRule>
  </conditionalFormatting>
  <conditionalFormatting sqref="M152:P152">
    <cfRule type="cellIs" priority="8" operator="equal" aboveAverage="0" equalAverage="0" bottom="0" percent="0" rank="0" text="" dxfId="6">
      <formula>"max 0.5"</formula>
    </cfRule>
  </conditionalFormatting>
  <conditionalFormatting sqref="AC6:AC124">
    <cfRule type="cellIs" priority="9" operator="lessThan" aboveAverage="0" equalAverage="0" bottom="0" percent="0" rank="0" text="" dxfId="7">
      <formula>0</formula>
    </cfRule>
    <cfRule type="cellIs" priority="10" operator="greaterThan" aboveAverage="0" equalAverage="0" bottom="0" percent="0" rank="0" text="" dxfId="8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9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10"/>
  </conditionalFormatting>
  <conditionalFormatting sqref="AI3:AI4">
    <cfRule type="cellIs" priority="13" operator="equal" aboveAverage="0" equalAverage="0" bottom="0" percent="0" rank="0" text="" dxfId="11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12">
      <formula>0</formula>
    </cfRule>
    <cfRule type="cellIs" priority="15" operator="greaterThan" aboveAverage="0" equalAverage="0" bottom="0" percent="0" rank="0" text="" dxfId="13">
      <formula>0</formula>
    </cfRule>
  </conditionalFormatting>
  <conditionalFormatting sqref="AK4:AT4 AR137">
    <cfRule type="cellIs" priority="16" operator="equal" aboveAverage="0" equalAverage="0" bottom="0" percent="0" rank="0" text="" dxfId="14">
      <formula>1</formula>
    </cfRule>
  </conditionalFormatting>
  <conditionalFormatting sqref="AV4:AW4">
    <cfRule type="cellIs" priority="17" operator="equal" aboveAverage="0" equalAverage="0" bottom="0" percent="0" rank="0" text="" dxfId="15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2023-04-18T17:54:28Z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