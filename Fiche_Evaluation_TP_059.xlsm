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<sst xmlns="http://schemas.openxmlformats.org/spreadsheetml/2006/main" count="641" uniqueCount="162">
  <si>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</si>
  <si>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</si>
  <si>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</si>
  <si>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</si>
  <si>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</si>
  <si>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</si>
  <si>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</si>
  <si>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</si>
  <si>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</si>
  <si>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</si>
  <si>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</si>
  <si>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</si>
  <si>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</si>
  <si>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</si>
  <si>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</si>
  <si>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</si>
  <si>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</si>
  <si>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</si>
  <si>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</si>
  <si>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</si>
  <si>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</si>
  <si>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</si>
  <si>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</si>
  <si>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</si>
  <si>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</si>
  <si>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</si>
  <si>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</si>
  <si>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</si>
  <si>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</si>
  <si>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</si>
  <si>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</si>
  <si>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</si>
  <si>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</si>
  <si>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</si>
  <si>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</si>
  <si>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</si>
  <si>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</si>
  <si>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ok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</si>
  <si>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</si>
  <si>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</si>
  <si>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</si>
  <si>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</si>
  <si>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</si>
  <si>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</si>
  <si>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</si>
  <si>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</si>
  <si>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</si>
  <si>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</si>
  <si>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</si>
  <si>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</si>
  <si>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</si>
  <si>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</si>
  <si>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</si>
  <si>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</si>
  <si>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</si>
  <si>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</si>
  <si>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</si>
  <si>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</si>
  <si>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</si>
  <si>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</si>
  <si>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</si>
  <si>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</si>
  <si>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</si>
  <si>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</si>
  <si>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</si>
  <si>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</si>
  <si>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</si>
  <si>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</si>
  <si>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</si>
  <si>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</si>
  <si>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</si>
  <si>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</si>
  <si>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</si>
  <si>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</si>
  <si>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</si>
  <si>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</si>
  <si>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</si>
  <si>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</si>
  <si>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</si>
  <si>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</si>
  <si>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</si>
  <si>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</si>
  <si>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</si>
  <si>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</si>
  <si>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</si>
  <si>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</si>
  <si>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</si>
  <si>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</si>
  <si>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</si>
  <si>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v1</t>
  </si>
  <si>
    <t xml:space="preserve">v5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</si>
  <si>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</si>
  <si>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</si>
  <si>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</si>
  <si>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</si>
  <si>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</si>
  <si>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</si>
  <si>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</si>
  <si>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</si>
  <si>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</si>
  <si>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</si>
  <si>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</si>
  <si>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</si>
  <si>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</si>
  <si>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comment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</si>
  <si>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</si>
  <si>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</si>
  <si>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</si>
  <si>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</si>
  <si>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</si>
  <si>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</si>
  <si>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</si>
  <si>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RTX 2080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</si>
  <si>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</si>
  <si>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</si>
  <si>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</si>
  <si>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</si>
  <si>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</si>
  <si>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</si>
  <si>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</si>
  <si>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</si>
  <si>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</si>
  <si>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</si>
  <si>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</si>
  <si>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</si>
  <si>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</si>
  <si>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</si>
  <si>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</si>
  <si>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</si>
  <si>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</si>
  <si>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</si>
  <si>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</si>
  <si>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</si>
  <si>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</si>
  <si>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</si>
  <si>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</si>
  <si>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</si>
  <si>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</si>
  <si>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</si>
  <si>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</si>
  <si>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</si>
  <si>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</si>
  <si>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</si>
  <si>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</si>
  <si>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</si>
  <si>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</si>
  <si>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</si>
  <si>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</si>
  <si>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</si>
  <si>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</si>
  <si>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</si>
  <si>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</si>
  <si>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</si>
  <si>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</si>
  <si>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</si>
  <si>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</si>
  <si>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</si>
  <si>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</si>
  <si>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</si>
  <si>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</si>
  <si>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Motecarlo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</si>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</sst>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20520</xdr:colOff>
      <xdr:row>2</xdr:row>
      <xdr:rowOff>48240</xdr:rowOff>
    </xdr:from>
    <xdr:to>
      <xdr:col>27</xdr:col>
      <xdr:colOff>177120</xdr:colOff>
      <xdr:row>60</xdr:row>
      <xdr:rowOff>90720</xdr:rowOff>
    </xdr:to>
    <xdr:sp>
      <xdr:nvSpPr>
        <xdr:cNvPr id="0" name="CustomShape 1"/>
        <xdr:cNvSpPr/>
      </xdr:nvSpPr>
      <xdr:spPr>
        <a:xfrm>
          <a:off x="678240" y="383400"/>
          <a:ext cx="8379720" cy="97657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42480</xdr:colOff>
      <xdr:row>73</xdr:row>
      <xdr:rowOff>128880</xdr:rowOff>
    </xdr:to>
    <xdr:sp>
      <xdr:nvSpPr>
        <xdr:cNvPr id="1" name="CustomShape 1"/>
        <xdr:cNvSpPr/>
      </xdr:nvSpPr>
      <xdr:spPr>
        <a:xfrm>
          <a:off x="329400" y="10359720"/>
          <a:ext cx="5962680" cy="20066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52920</xdr:colOff>
      <xdr:row>79</xdr:row>
      <xdr:rowOff>148320</xdr:rowOff>
    </xdr:to>
    <xdr:sp>
      <xdr:nvSpPr>
        <xdr:cNvPr id="2" name="CustomShape 1"/>
        <xdr:cNvSpPr/>
      </xdr:nvSpPr>
      <xdr:spPr>
        <a:xfrm>
          <a:off x="295200" y="12649320"/>
          <a:ext cx="5349240" cy="7423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213840</xdr:colOff>
      <xdr:row>100</xdr:row>
      <xdr:rowOff>52920</xdr:rowOff>
    </xdr:to>
    <xdr:sp>
      <xdr:nvSpPr>
        <xdr:cNvPr id="3" name="CustomShape 1"/>
        <xdr:cNvSpPr/>
      </xdr:nvSpPr>
      <xdr:spPr>
        <a:xfrm>
          <a:off x="357840" y="16198200"/>
          <a:ext cx="2816280" cy="6184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324720</xdr:colOff>
      <xdr:row>85</xdr:row>
      <xdr:rowOff>128880</xdr:rowOff>
    </xdr:to>
    <xdr:sp>
      <xdr:nvSpPr>
        <xdr:cNvPr id="4" name="CustomShape 1"/>
        <xdr:cNvSpPr/>
      </xdr:nvSpPr>
      <xdr:spPr>
        <a:xfrm>
          <a:off x="338760" y="13664520"/>
          <a:ext cx="2617200" cy="7135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166320</xdr:colOff>
      <xdr:row>94</xdr:row>
      <xdr:rowOff>129240</xdr:rowOff>
    </xdr:to>
    <xdr:sp>
      <xdr:nvSpPr>
        <xdr:cNvPr id="5" name="CustomShape 1"/>
        <xdr:cNvSpPr/>
      </xdr:nvSpPr>
      <xdr:spPr>
        <a:xfrm>
          <a:off x="295200" y="14661000"/>
          <a:ext cx="9081000" cy="12261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506520</xdr:rowOff>
    </xdr:from>
    <xdr:to>
      <xdr:col>12</xdr:col>
      <xdr:colOff>453240</xdr:colOff>
      <xdr:row>2</xdr:row>
      <xdr:rowOff>1501200</xdr:rowOff>
    </xdr:to>
    <xdr:sp>
      <xdr:nvSpPr>
        <xdr:cNvPr id="6" name="CustomShape 1"/>
        <xdr:cNvSpPr/>
      </xdr:nvSpPr>
      <xdr:spPr>
        <a:xfrm>
          <a:off x="5389920" y="816840"/>
          <a:ext cx="1486800" cy="9946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167040</xdr:colOff>
      <xdr:row>2</xdr:row>
      <xdr:rowOff>1506600</xdr:rowOff>
    </xdr:from>
    <xdr:to>
      <xdr:col>11</xdr:col>
      <xdr:colOff>324360</xdr:colOff>
      <xdr:row>6</xdr:row>
      <xdr:rowOff>110520</xdr:rowOff>
    </xdr:to>
    <xdr:sp>
      <xdr:nvSpPr>
        <xdr:cNvPr id="7" name="CustomShape 1"/>
        <xdr:cNvSpPr/>
      </xdr:nvSpPr>
      <xdr:spPr>
        <a:xfrm flipH="1">
          <a:off x="5204880" y="1816920"/>
          <a:ext cx="915480" cy="8136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79920</xdr:colOff>
      <xdr:row>2</xdr:row>
      <xdr:rowOff>1506600</xdr:rowOff>
    </xdr:from>
    <xdr:to>
      <xdr:col>11</xdr:col>
      <xdr:colOff>324360</xdr:colOff>
      <xdr:row>15</xdr:row>
      <xdr:rowOff>33840</xdr:rowOff>
    </xdr:to>
    <xdr:sp>
      <xdr:nvSpPr>
        <xdr:cNvPr id="8" name="CustomShape 1"/>
        <xdr:cNvSpPr/>
      </xdr:nvSpPr>
      <xdr:spPr>
        <a:xfrm flipH="1">
          <a:off x="5374440" y="1816920"/>
          <a:ext cx="745920" cy="22158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434160</xdr:colOff>
      <xdr:row>2</xdr:row>
      <xdr:rowOff>1357560</xdr:rowOff>
    </xdr:to>
    <xdr:sp>
      <xdr:nvSpPr>
        <xdr:cNvPr id="9" name="CustomShape 1"/>
        <xdr:cNvSpPr/>
      </xdr:nvSpPr>
      <xdr:spPr>
        <a:xfrm>
          <a:off x="5389920" y="920520"/>
          <a:ext cx="1969200" cy="7473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166320</xdr:colOff>
      <xdr:row>2</xdr:row>
      <xdr:rowOff>1362960</xdr:rowOff>
    </xdr:from>
    <xdr:to>
      <xdr:col>12</xdr:col>
      <xdr:colOff>18720</xdr:colOff>
      <xdr:row>6</xdr:row>
      <xdr:rowOff>110160</xdr:rowOff>
    </xdr:to>
    <xdr:sp>
      <xdr:nvSpPr>
        <xdr:cNvPr id="10" name="CustomShape 1"/>
        <xdr:cNvSpPr/>
      </xdr:nvSpPr>
      <xdr:spPr>
        <a:xfrm flipH="1">
          <a:off x="5204160" y="1673280"/>
          <a:ext cx="1175040" cy="9568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79920</xdr:colOff>
      <xdr:row>2</xdr:row>
      <xdr:rowOff>1362960</xdr:rowOff>
    </xdr:from>
    <xdr:to>
      <xdr:col>12</xdr:col>
      <xdr:colOff>18360</xdr:colOff>
      <xdr:row>15</xdr:row>
      <xdr:rowOff>23760</xdr:rowOff>
    </xdr:to>
    <xdr:sp>
      <xdr:nvSpPr>
        <xdr:cNvPr id="11" name="CustomShape 1"/>
        <xdr:cNvSpPr/>
      </xdr:nvSpPr>
      <xdr:spPr>
        <a:xfrm flipH="1">
          <a:off x="5374440" y="1673280"/>
          <a:ext cx="1004400" cy="23698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A137" colorId="64" zoomScale="100" zoomScaleNormal="100" zoomScalePageLayoutView="100" workbookViewId="0">
      <selection pane="topLeft" activeCell="K124" activeCellId="0" sqref="K124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false" outlineLevel="1" max="34" min="34" style="0" width="5.66"/>
    <col collapsed="false" customWidth="true" hidden="false" outlineLevel="1" max="35" min="35" style="0" width="11.89"/>
    <col collapsed="false" customWidth="true" hidden="false" outlineLevel="1" max="36" min="36" style="0" width="4.1"/>
    <col collapsed="false" customWidth="true" hidden="false" outlineLevel="1" max="37" min="37" style="0" width="3.89"/>
    <col collapsed="false" customWidth="true" hidden="false" outlineLevel="1" max="41" min="38" style="0" width="3.64"/>
    <col collapsed="false" customWidth="true" hidden="false" outlineLevel="1" max="42" min="42" style="0" width="5.43"/>
    <col collapsed="false" customWidth="true" hidden="false" outlineLevel="1" max="43" min="43" style="0" width="5.55"/>
    <col collapsed="false" customWidth="true" hidden="false" outlineLevel="1" max="44" min="44" style="0" width="15"/>
    <col collapsed="false" customWidth="true" hidden="false" outlineLevel="1" max="45" min="45" style="0" width="5.43"/>
    <col collapsed="false" customWidth="true" hidden="false" outlineLevel="1" max="46" min="46" style="0" width="11.99"/>
    <col collapsed="false" customWidth="true" hidden="false" outlineLevel="1" max="47" min="47" style="0" width="11.45"/>
    <col collapsed="false" customWidth="true" hidden="fals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10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14445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14320</v>
      </c>
      <c r="O11" s="46" t="s">
        <v>23</v>
      </c>
      <c r="P11" s="50" t="n">
        <f aca="false">IF(AND(N11&lt;&gt;"",N10&lt;&gt;""),N11/$N$10,"")</f>
        <v>0.99134648667359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14313</v>
      </c>
      <c r="O12" s="46" t="s">
        <v>23</v>
      </c>
      <c r="P12" s="50" t="n">
        <f aca="false">IF(AND(N12&lt;&gt;"",N11&lt;&gt;""),N12/$N$10,"")</f>
        <v>0.99086188992731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2.8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/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 t="s">
        <v>37</v>
      </c>
      <c r="AF13" s="0" t="str">
        <f aca="false">IF(AND(J13="x",AE13=""),"TODO !","")</f>
        <v/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2.8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38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14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2.8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2.8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2.8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2.8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32</v>
      </c>
      <c r="F20" s="34"/>
      <c r="G20" s="41"/>
      <c r="H20" s="41"/>
      <c r="I20" s="42"/>
      <c r="J20" s="41" t="s">
        <v>22</v>
      </c>
      <c r="K20" s="43"/>
      <c r="L20" s="43"/>
      <c r="M20" s="44" t="str">
        <f aca="false">IF(AND(U20=1,N20="",AR20&gt;0,AR20&lt;&gt;""),"TODO !","")</f>
        <v/>
      </c>
      <c r="N20" s="45" t="n">
        <v>241</v>
      </c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66</v>
      </c>
      <c r="AW20" s="54" t="n">
        <f aca="false">SUM(AT20:AT29)</f>
        <v>66</v>
      </c>
    </row>
    <row r="21" customFormat="false" ht="12.8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 t="s">
        <v>22</v>
      </c>
      <c r="K21" s="43"/>
      <c r="L21" s="43"/>
      <c r="M21" s="44" t="str">
        <f aca="false">IF(AND(U21=1,N21="",AR21&gt;0,AR21&lt;&gt;""),"TODO !","")</f>
        <v/>
      </c>
      <c r="N21" s="45" t="n">
        <v>279</v>
      </c>
      <c r="O21" s="46" t="s">
        <v>23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2.8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 t="s">
        <v>22</v>
      </c>
      <c r="K22" s="43"/>
      <c r="L22" s="43"/>
      <c r="M22" s="44" t="str">
        <f aca="false">IF(AND(U22=1,N22="",AR22&gt;0,AR22&lt;&gt;""),"TODO !","")</f>
        <v/>
      </c>
      <c r="N22" s="45" t="n">
        <v>97</v>
      </c>
      <c r="O22" s="46" t="s">
        <v>23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 t="s">
        <v>22</v>
      </c>
      <c r="K23" s="43"/>
      <c r="L23" s="43"/>
      <c r="M23" s="44" t="str">
        <f aca="false">IF(AND(U23=1,N23="",AR23&gt;0,AR23&lt;&gt;""),"TODO !","")</f>
        <v/>
      </c>
      <c r="N23" s="86" t="n">
        <v>280</v>
      </c>
      <c r="O23" s="46" t="s">
        <v>23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2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45</v>
      </c>
      <c r="N24" s="45" t="n">
        <f aca="false">MAX(N20:N23)</f>
        <v>280</v>
      </c>
      <c r="O24" s="46" t="s">
        <v>23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2.8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2.8" hidden="false" customHeight="false" outlineLevel="1" collapsed="false">
      <c r="B26" s="70"/>
      <c r="C26" s="82" t="s">
        <v>40</v>
      </c>
      <c r="D26" s="34"/>
      <c r="E26" s="76" t="s">
        <v>26</v>
      </c>
      <c r="F26" s="34"/>
      <c r="G26" s="41"/>
      <c r="H26" s="41"/>
      <c r="I26" s="41"/>
      <c r="J26" s="59" t="s">
        <v>22</v>
      </c>
      <c r="K26" s="43"/>
      <c r="L26" s="43"/>
      <c r="M26" s="44" t="str">
        <f aca="false">IF(AND(U26=1,N26="",AR26&gt;0,AR26&lt;&gt;""),"TODO !","")</f>
        <v/>
      </c>
      <c r="N26" s="60" t="n">
        <v>3</v>
      </c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2.8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/>
      <c r="J27" s="59" t="s">
        <v>22</v>
      </c>
      <c r="K27" s="43"/>
      <c r="L27" s="43"/>
      <c r="M27" s="44" t="str">
        <f aca="false">IF(AND(U27=1,N27="",AR27&gt;0,AR27&lt;&gt;""),"TODO !","")</f>
        <v/>
      </c>
      <c r="N27" s="60" t="n">
        <v>3</v>
      </c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3</v>
      </c>
      <c r="Z27" s="50"/>
      <c r="AA27" s="50"/>
      <c r="AB27" s="50"/>
      <c r="AC27" s="50"/>
      <c r="AD27" s="50"/>
      <c r="AE27" s="73"/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n">
        <f aca="false">IF(J27="x",AN$4,"")</f>
        <v>3</v>
      </c>
      <c r="AO27" s="2"/>
      <c r="AP27" s="48" t="n">
        <f aca="false">COUNTIF(G27:J27,"=x")</f>
        <v>1</v>
      </c>
      <c r="AQ27" s="48" t="n">
        <f aca="false">IF(AP27&gt;0,AVERAGE(AK27:AN27),"")</f>
        <v>3</v>
      </c>
      <c r="AR27" s="48" t="n">
        <f aca="false">IF(AND(AP27&gt;0,U27=1),AQ27*R27,"")</f>
        <v>3</v>
      </c>
      <c r="AS27" s="2"/>
      <c r="AT27" s="48" t="n">
        <f aca="false">AI27*3</f>
        <v>3</v>
      </c>
      <c r="AV27" s="54"/>
      <c r="AW27" s="54"/>
    </row>
    <row r="28" customFormat="false" ht="12.8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 t="s">
        <v>22</v>
      </c>
      <c r="K28" s="43"/>
      <c r="L28" s="43"/>
      <c r="M28" s="44" t="str">
        <f aca="false">IF(AND(U28=1,N28="",AR28&gt;0,AR28&lt;&gt;""),"TODO !","")</f>
        <v/>
      </c>
      <c r="N28" s="60" t="n">
        <v>11</v>
      </c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 t="s">
        <v>22</v>
      </c>
      <c r="K29" s="43"/>
      <c r="L29" s="43"/>
      <c r="M29" s="44" t="str">
        <f aca="false">IF(AND(U29=1,N29="",AR29&gt;0,AR29&lt;&gt;""),"TODO !","")</f>
        <v/>
      </c>
      <c r="N29" s="60" t="n">
        <v>12</v>
      </c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2.8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2.8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2.8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2.8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2.8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13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2.8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2.8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2.8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2.8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2.8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2.8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2.8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2.8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2.8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104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2.8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2.8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2.8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2.8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2.8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2.8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38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18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2.8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8</v>
      </c>
      <c r="O52" s="61" t="s">
        <v>27</v>
      </c>
      <c r="P52" s="51" t="n">
        <f aca="false">IF(N52&lt;&gt;"",$N$51/N52,"")</f>
        <v>2.25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2.8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11</v>
      </c>
      <c r="O53" s="61" t="s">
        <v>27</v>
      </c>
      <c r="P53" s="51" t="n">
        <f aca="false">IF(N53&lt;&gt;"",$N$51/N53,"")</f>
        <v>1.63636363636364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64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64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64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64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64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64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38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2.8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2.8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 t="s">
        <v>22</v>
      </c>
      <c r="K84" s="43"/>
      <c r="L84" s="43"/>
      <c r="M84" s="44" t="str">
        <f aca="false">IF(AND(U84=1,N84="",AR84&gt;0,AR84&lt;&gt;""),"TODO !","")</f>
        <v/>
      </c>
      <c r="N84" s="45" t="n">
        <v>103</v>
      </c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 t="n">
        <v>1</v>
      </c>
      <c r="V84" s="48" t="n">
        <v>1</v>
      </c>
      <c r="W84" s="26" t="str">
        <f aca="false">IF(AND(U84=1,V84=0),"Bonus","")</f>
        <v/>
      </c>
      <c r="X84" s="26"/>
      <c r="Y84" s="49" t="n">
        <f aca="false">IF(U84=1,AR84,"")</f>
        <v>3</v>
      </c>
      <c r="Z84" s="50"/>
      <c r="AA84" s="50"/>
      <c r="AB84" s="50"/>
      <c r="AC84" s="50"/>
      <c r="AD84" s="50"/>
      <c r="AE84" s="73"/>
      <c r="AG84" s="53" t="s">
        <v>77</v>
      </c>
      <c r="AH84" s="2"/>
      <c r="AI84" s="48" t="n">
        <f aca="false">U84*V84*R84</f>
        <v>1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n">
        <f aca="false">IF(J84="x",AN$4,"")</f>
        <v>3</v>
      </c>
      <c r="AO84" s="2"/>
      <c r="AP84" s="48" t="n">
        <f aca="false">COUNTIF(G84:J84,"=x")</f>
        <v>1</v>
      </c>
      <c r="AQ84" s="48" t="n">
        <f aca="false">IF(AP84&gt;0,AVERAGE(AK84:AN84),"")</f>
        <v>3</v>
      </c>
      <c r="AR84" s="48" t="n">
        <f aca="false">IF(AND(AP84&gt;0,U84=1),AQ84*R84,"")</f>
        <v>3</v>
      </c>
      <c r="AS84" s="2"/>
      <c r="AT84" s="48" t="n">
        <f aca="false">AI84*3</f>
        <v>3</v>
      </c>
      <c r="AV84" s="54" t="n">
        <f aca="false">SUM(AR84:AR90)</f>
        <v>78</v>
      </c>
      <c r="AW84" s="54" t="n">
        <f aca="false">SUM(AT84:AT90)</f>
        <v>78</v>
      </c>
    </row>
    <row r="85" customFormat="false" ht="12.8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 t="s">
        <v>22</v>
      </c>
      <c r="K85" s="43"/>
      <c r="L85" s="43"/>
      <c r="M85" s="44" t="str">
        <f aca="false">IF(AND(U85=1,N85="",AR85&gt;0,AR85&lt;&gt;""),"TODO !","")</f>
        <v/>
      </c>
      <c r="N85" s="45" t="n">
        <v>114</v>
      </c>
      <c r="O85" s="46" t="s">
        <v>23</v>
      </c>
      <c r="P85" s="110" t="n">
        <f aca="false">IF(N85&lt;&gt;"",N85/$N$84,"")</f>
        <v>1.10679611650485</v>
      </c>
      <c r="Q85" s="43"/>
      <c r="R85" s="77" t="n">
        <v>6</v>
      </c>
      <c r="S85" s="8"/>
      <c r="U85" s="48" t="n">
        <v>1</v>
      </c>
      <c r="V85" s="48" t="n">
        <v>1</v>
      </c>
      <c r="W85" s="26" t="str">
        <f aca="false">IF(AND(U85=1,V85=0),"Bonus","")</f>
        <v/>
      </c>
      <c r="X85" s="26"/>
      <c r="Y85" s="49" t="n">
        <f aca="false">IF(U85=1,AR85,"")</f>
        <v>18</v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6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n">
        <f aca="false">IF(AND(AP85&gt;0,U85=1),AQ85*R85,"")</f>
        <v>18</v>
      </c>
      <c r="AS85" s="2"/>
      <c r="AT85" s="48" t="n">
        <f aca="false">AI85*3</f>
        <v>18</v>
      </c>
      <c r="AV85" s="54"/>
      <c r="AW85" s="54"/>
    </row>
    <row r="86" customFormat="false" ht="12.8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 t="s">
        <v>22</v>
      </c>
      <c r="K86" s="43"/>
      <c r="L86" s="43"/>
      <c r="M86" s="44" t="str">
        <f aca="false">IF(AND(U86=1,N86="",AR86&gt;0,AR86&lt;&gt;""),"TODO !","")</f>
        <v/>
      </c>
      <c r="N86" s="45" t="n">
        <v>217</v>
      </c>
      <c r="O86" s="46" t="s">
        <v>23</v>
      </c>
      <c r="P86" s="110" t="n">
        <f aca="false">IF(N86&lt;&gt;"",N86/$N$84,"")</f>
        <v>2.10679611650485</v>
      </c>
      <c r="Q86" s="43"/>
      <c r="R86" s="77" t="n">
        <v>9</v>
      </c>
      <c r="S86" s="8"/>
      <c r="U86" s="48" t="n">
        <v>1</v>
      </c>
      <c r="V86" s="48" t="n">
        <v>1</v>
      </c>
      <c r="W86" s="26" t="str">
        <f aca="false">IF(AND(U86=1,V86=0),"Bonus","")</f>
        <v/>
      </c>
      <c r="X86" s="26"/>
      <c r="Y86" s="49" t="n">
        <f aca="false">IF(U86=1,AR86,"")</f>
        <v>27</v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9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n">
        <f aca="false">IF(J86="x",AN$4,"")</f>
        <v>3</v>
      </c>
      <c r="AO86" s="2"/>
      <c r="AP86" s="48" t="n">
        <f aca="false">COUNTIF(G86:J86,"=x")</f>
        <v>1</v>
      </c>
      <c r="AQ86" s="48" t="n">
        <f aca="false">IF(AP86&gt;0,AVERAGE(AK86:AN86),"")</f>
        <v>3</v>
      </c>
      <c r="AR86" s="48" t="n">
        <f aca="false">IF(AND(AP86&gt;0,U86=1),AQ86*R86,"")</f>
        <v>27</v>
      </c>
      <c r="AS86" s="2"/>
      <c r="AT86" s="48" t="n">
        <f aca="false">AI86*3</f>
        <v>27</v>
      </c>
      <c r="AV86" s="54"/>
      <c r="AW86" s="54"/>
    </row>
    <row r="87" customFormat="false" ht="12.8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2.8" hidden="false" customHeight="false" outlineLevel="1" collapsed="false">
      <c r="B88" s="107"/>
      <c r="C88" s="82" t="s">
        <v>76</v>
      </c>
      <c r="D88" s="34"/>
      <c r="E88" s="76" t="s">
        <v>38</v>
      </c>
      <c r="F88" s="34"/>
      <c r="G88" s="41"/>
      <c r="H88" s="41"/>
      <c r="I88" s="41"/>
      <c r="J88" s="59" t="s">
        <v>22</v>
      </c>
      <c r="K88" s="43"/>
      <c r="L88" s="43"/>
      <c r="M88" s="44" t="str">
        <f aca="false">IF(AND(U88=1,N88="",AR88&gt;0,AR88&lt;&gt;""),"TODO !","")</f>
        <v/>
      </c>
      <c r="N88" s="111" t="n">
        <v>24</v>
      </c>
      <c r="O88" s="61" t="s">
        <v>27</v>
      </c>
      <c r="P88" s="110"/>
      <c r="Q88" s="43"/>
      <c r="R88" s="77" t="n">
        <v>1</v>
      </c>
      <c r="S88" s="8"/>
      <c r="U88" s="48" t="n">
        <v>1</v>
      </c>
      <c r="V88" s="48" t="n">
        <v>1</v>
      </c>
      <c r="W88" s="26" t="str">
        <f aca="false">IF(AND(U88=1,V88=0),"Bonus","")</f>
        <v/>
      </c>
      <c r="X88" s="26"/>
      <c r="Y88" s="49" t="n">
        <f aca="false">IF(U88=1,AR88,"")</f>
        <v>3</v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1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n">
        <f aca="false">IF(J88="x",AN$4,"")</f>
        <v>3</v>
      </c>
      <c r="AO88" s="2"/>
      <c r="AP88" s="48" t="n">
        <f aca="false">COUNTIF(G88:J88,"=x")</f>
        <v>1</v>
      </c>
      <c r="AQ88" s="48" t="n">
        <f aca="false">IF(AP88&gt;0,AVERAGE(AK88:AN88),"")</f>
        <v>3</v>
      </c>
      <c r="AR88" s="48" t="n">
        <f aca="false">IF(AND(AP88&gt;0,U88=1),AQ88*R88,"")</f>
        <v>3</v>
      </c>
      <c r="AS88" s="2"/>
      <c r="AT88" s="48" t="n">
        <f aca="false">AI88*3</f>
        <v>3</v>
      </c>
      <c r="AV88" s="54"/>
      <c r="AW88" s="54"/>
    </row>
    <row r="89" customFormat="false" ht="12.8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 t="s">
        <v>22</v>
      </c>
      <c r="K89" s="43"/>
      <c r="L89" s="43"/>
      <c r="M89" s="44" t="str">
        <f aca="false">IF(AND(U89=1,N89="",AR89&gt;0,AR89&lt;&gt;""),"TODO !","")</f>
        <v/>
      </c>
      <c r="N89" s="111" t="n">
        <v>24</v>
      </c>
      <c r="O89" s="61" t="s">
        <v>27</v>
      </c>
      <c r="P89" s="110"/>
      <c r="Q89" s="43"/>
      <c r="R89" s="77" t="n">
        <v>4</v>
      </c>
      <c r="S89" s="8"/>
      <c r="U89" s="48" t="n">
        <v>1</v>
      </c>
      <c r="V89" s="48" t="n">
        <v>1</v>
      </c>
      <c r="W89" s="26" t="str">
        <f aca="false">IF(AND(U89=1,V89=0),"Bonus","")</f>
        <v/>
      </c>
      <c r="X89" s="26"/>
      <c r="Y89" s="49" t="n">
        <f aca="false">IF(U89=1,AR89,"")</f>
        <v>12</v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4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n">
        <f aca="false">IF(J89="x",AN$4,"")</f>
        <v>3</v>
      </c>
      <c r="AO89" s="2"/>
      <c r="AP89" s="48" t="n">
        <f aca="false">COUNTIF(G89:J89,"=x")</f>
        <v>1</v>
      </c>
      <c r="AQ89" s="48" t="n">
        <f aca="false">IF(AP89&gt;0,AVERAGE(AK89:AN89),"")</f>
        <v>3</v>
      </c>
      <c r="AR89" s="48" t="n">
        <f aca="false">IF(AND(AP89&gt;0,U89=1),AQ89*R89,"")</f>
        <v>12</v>
      </c>
      <c r="AS89" s="2"/>
      <c r="AT89" s="48" t="n">
        <f aca="false">AI89*3</f>
        <v>12</v>
      </c>
      <c r="AV89" s="54"/>
      <c r="AW89" s="54"/>
    </row>
    <row r="90" customFormat="false" ht="12.8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 t="s">
        <v>22</v>
      </c>
      <c r="K90" s="43"/>
      <c r="L90" s="43"/>
      <c r="M90" s="44" t="str">
        <f aca="false">IF(AND(U90=1,N90="",AR90&gt;0,AR90&lt;&gt;""),"TODO !","")</f>
        <v/>
      </c>
      <c r="N90" s="111" t="n">
        <v>32</v>
      </c>
      <c r="O90" s="61" t="s">
        <v>27</v>
      </c>
      <c r="P90" s="110"/>
      <c r="Q90" s="43"/>
      <c r="R90" s="77" t="n">
        <v>5</v>
      </c>
      <c r="S90" s="8"/>
      <c r="U90" s="48" t="n">
        <v>1</v>
      </c>
      <c r="V90" s="48" t="n">
        <v>1</v>
      </c>
      <c r="W90" s="26" t="str">
        <f aca="false">IF(AND(U90=1,V90=0),"Bonus","")</f>
        <v/>
      </c>
      <c r="X90" s="26"/>
      <c r="Y90" s="49" t="n">
        <f aca="false">IF(U90=1,AR90,"")</f>
        <v>15</v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5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n">
        <f aca="false">IF(J90="x",AN$4,"")</f>
        <v>3</v>
      </c>
      <c r="AO90" s="2"/>
      <c r="AP90" s="48" t="n">
        <f aca="false">COUNTIF(G90:J90,"=x")</f>
        <v>1</v>
      </c>
      <c r="AQ90" s="48" t="n">
        <f aca="false">IF(AP90&gt;0,AVERAGE(AK90:AN90),"")</f>
        <v>3</v>
      </c>
      <c r="AR90" s="48" t="n">
        <f aca="false">IF(AND(AP90&gt;0,U90=1),AQ90*R90,"")</f>
        <v>15</v>
      </c>
      <c r="AS90" s="2"/>
      <c r="AT90" s="48" t="n">
        <f aca="false">AI90*3</f>
        <v>15</v>
      </c>
      <c r="AV90" s="54"/>
      <c r="AW90" s="54"/>
    </row>
    <row r="91" customFormat="false" ht="12.8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81</v>
      </c>
      <c r="O92" s="61"/>
      <c r="P92" s="26" t="s">
        <v>82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 t="n">
        <v>1</v>
      </c>
      <c r="V93" s="48" t="n">
        <v>1</v>
      </c>
      <c r="W93" s="26" t="str">
        <f aca="false">IF(AND(U93=1,V93=0),"Bonus","")</f>
        <v/>
      </c>
      <c r="X93" s="26"/>
      <c r="Y93" s="49" t="n">
        <f aca="false">IF(U93=1,AR93,"")</f>
        <v>3</v>
      </c>
      <c r="Z93" s="50"/>
      <c r="AA93" s="50"/>
      <c r="AB93" s="50"/>
      <c r="AC93" s="50"/>
      <c r="AD93" s="50"/>
      <c r="AE93" s="73"/>
      <c r="AG93" s="53" t="s">
        <v>86</v>
      </c>
      <c r="AH93" s="2"/>
      <c r="AI93" s="48" t="n">
        <f aca="false">U93*V93*R93</f>
        <v>1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n">
        <f aca="false">IF(AND(AP93&gt;0,U93=1),AQ93*R93,"")</f>
        <v>3</v>
      </c>
      <c r="AS93" s="2"/>
      <c r="AT93" s="48" t="n">
        <f aca="false">AI93*3</f>
        <v>3</v>
      </c>
      <c r="AV93" s="54" t="n">
        <f aca="false">SUM(AR93:AR100)</f>
        <v>36</v>
      </c>
      <c r="AW93" s="54" t="n">
        <f aca="false">SUM(AT93:AT100)</f>
        <v>36</v>
      </c>
    </row>
    <row r="94" customFormat="false" ht="12.8" hidden="false" customHeight="false" outlineLevel="2" collapsed="false">
      <c r="B94" s="99"/>
      <c r="C94" s="82"/>
      <c r="D94" s="34"/>
      <c r="E94" s="93" t="s">
        <v>87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 t="n">
        <v>1</v>
      </c>
      <c r="V94" s="48" t="n">
        <v>1</v>
      </c>
      <c r="W94" s="26" t="str">
        <f aca="false">IF(AND(U94=1,V94=0),"Bonus","")</f>
        <v/>
      </c>
      <c r="X94" s="26"/>
      <c r="Y94" s="49" t="n">
        <f aca="false">IF(U94=1,AR94,"")</f>
        <v>6</v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2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n">
        <f aca="false">IF(AND(AP94&gt;0,U94=1),AQ94*R94,"")</f>
        <v>6</v>
      </c>
      <c r="AS94" s="2"/>
      <c r="AT94" s="48" t="n">
        <f aca="false">AI94*3</f>
        <v>6</v>
      </c>
      <c r="AV94" s="54"/>
      <c r="AW94" s="54"/>
    </row>
    <row r="95" customFormat="false" ht="12.8" hidden="false" customHeight="false" outlineLevel="2" collapsed="false">
      <c r="B95" s="99"/>
      <c r="C95" s="82" t="s">
        <v>84</v>
      </c>
      <c r="D95" s="34" t="s">
        <v>30</v>
      </c>
      <c r="E95" s="93" t="s">
        <v>85</v>
      </c>
      <c r="F95" s="3" t="s">
        <v>34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23</v>
      </c>
      <c r="P95" s="125" t="n">
        <f aca="false">IF(AND(N95&lt;&gt;"",$N$11&lt;&gt;""),$N$11/N95,"")</f>
        <v>1790</v>
      </c>
      <c r="Q95" s="43"/>
      <c r="R95" s="77" t="n">
        <v>1</v>
      </c>
      <c r="S95" s="8"/>
      <c r="U95" s="48" t="n">
        <v>1</v>
      </c>
      <c r="V95" s="48" t="n">
        <v>1</v>
      </c>
      <c r="W95" s="26" t="str">
        <f aca="false">IF(AND(U95=1,V95=0),"Bonus","")</f>
        <v/>
      </c>
      <c r="X95" s="26"/>
      <c r="Y95" s="49" t="n">
        <f aca="false">IF(U95=1,AR95,"")</f>
        <v>3</v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1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n">
        <f aca="false">IF(AND(AP95&gt;0,U95=1),AQ95*R95,"")</f>
        <v>3</v>
      </c>
      <c r="AS95" s="2"/>
      <c r="AT95" s="48" t="n">
        <f aca="false">AI95*3</f>
        <v>3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87</v>
      </c>
      <c r="F96" s="3" t="s">
        <v>34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23</v>
      </c>
      <c r="P96" s="128" t="n">
        <f aca="false">IF(AND(N96&lt;&gt;"",$N$11&lt;&gt;""),$N$11/N96,"")</f>
        <v>284.691848906561</v>
      </c>
      <c r="Q96" s="43"/>
      <c r="R96" s="77" t="n">
        <v>2</v>
      </c>
      <c r="S96" s="8"/>
      <c r="U96" s="48" t="n">
        <v>1</v>
      </c>
      <c r="V96" s="48" t="n">
        <v>1</v>
      </c>
      <c r="W96" s="26" t="str">
        <f aca="false">IF(AND(U96=1,V96=0),"Bonus","")</f>
        <v/>
      </c>
      <c r="X96" s="26"/>
      <c r="Y96" s="49" t="n">
        <f aca="false">IF(U96=1,AR96,"")</f>
        <v>6</v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2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n">
        <f aca="false">IF(AND(AP96&gt;0,U96=1),AQ96*R96,"")</f>
        <v>6</v>
      </c>
      <c r="AS96" s="2"/>
      <c r="AT96" s="48" t="n">
        <f aca="false">AI96*3</f>
        <v>6</v>
      </c>
      <c r="AV96" s="54"/>
      <c r="AW96" s="54"/>
    </row>
    <row r="97" customFormat="false" ht="12.8" hidden="false" customHeight="false" outlineLevel="2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23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 t="n">
        <v>1</v>
      </c>
      <c r="V97" s="48" t="n">
        <v>1</v>
      </c>
      <c r="W97" s="26" t="str">
        <f aca="false">IF(AND(U97=1,V97=0),"Bonus","")</f>
        <v/>
      </c>
      <c r="X97" s="26"/>
      <c r="Y97" s="49" t="n">
        <f aca="false">IF(U97=1,AR97,"")</f>
        <v>3</v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1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n">
        <f aca="false">IF(AND(AP97&gt;0,U97=1),AQ97*R97,"")</f>
        <v>3</v>
      </c>
      <c r="AS97" s="2"/>
      <c r="AT97" s="48" t="n">
        <f aca="false">AI97*3</f>
        <v>3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87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23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 t="n">
        <v>1</v>
      </c>
      <c r="V98" s="48" t="n">
        <v>1</v>
      </c>
      <c r="W98" s="26" t="str">
        <f aca="false">IF(AND(U98=1,V98=0),"Bonus","")</f>
        <v/>
      </c>
      <c r="X98" s="26"/>
      <c r="Y98" s="49" t="n">
        <f aca="false">IF(U98=1,AR98,"")</f>
        <v>6</v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2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n">
        <f aca="false">IF(AND(AP98&gt;0,U98=1),AQ98*R98,"")</f>
        <v>6</v>
      </c>
      <c r="AS98" s="2"/>
      <c r="AT98" s="48" t="n">
        <f aca="false">AI98*3</f>
        <v>6</v>
      </c>
      <c r="AV98" s="54"/>
      <c r="AW98" s="54"/>
    </row>
    <row r="99" customFormat="false" ht="12.8" hidden="false" customHeight="false" outlineLevel="2" collapsed="false">
      <c r="B99" s="99"/>
      <c r="C99" s="82" t="s">
        <v>84</v>
      </c>
      <c r="D99" s="34" t="s">
        <v>62</v>
      </c>
      <c r="E99" s="93" t="s">
        <v>85</v>
      </c>
      <c r="F99" s="3" t="s">
        <v>55</v>
      </c>
      <c r="G99" s="41"/>
      <c r="H99" s="41"/>
      <c r="I99" s="42"/>
      <c r="J99" s="41" t="s">
        <v>22</v>
      </c>
      <c r="K99" s="43" t="s">
        <v>89</v>
      </c>
      <c r="L99" s="43"/>
      <c r="M99" s="44" t="str">
        <f aca="false">IF(AND(U99=1,N99="",AR99&gt;0,AR99&lt;&gt;""),"TODO !","")</f>
        <v/>
      </c>
      <c r="N99" s="129" t="n">
        <v>0.33</v>
      </c>
      <c r="O99" s="130" t="s">
        <v>64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 t="n">
        <v>1</v>
      </c>
      <c r="V99" s="48" t="n">
        <v>1</v>
      </c>
      <c r="W99" s="26" t="str">
        <f aca="false">IF(AND(U99=1,V99=0),"Bonus","")</f>
        <v/>
      </c>
      <c r="X99" s="26"/>
      <c r="Y99" s="49" t="n">
        <f aca="false">IF(U99=1,AR99,"")</f>
        <v>3</v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1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n">
        <f aca="false">IF(J99="x",AN$4,"")</f>
        <v>3</v>
      </c>
      <c r="AO99" s="2"/>
      <c r="AP99" s="48" t="n">
        <f aca="false">COUNTIF(G99:J99,"=x")</f>
        <v>1</v>
      </c>
      <c r="AQ99" s="48" t="n">
        <f aca="false">IF(AP99&gt;0,AVERAGE(AK99:AN99),"")</f>
        <v>3</v>
      </c>
      <c r="AR99" s="48" t="n">
        <f aca="false">IF(AND(AP99&gt;0,U99=1),AQ99*R99,"")</f>
        <v>3</v>
      </c>
      <c r="AS99" s="2"/>
      <c r="AT99" s="48" t="n">
        <f aca="false">AI99*3</f>
        <v>3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42"/>
      <c r="J100" s="41" t="s">
        <v>22</v>
      </c>
      <c r="K100" s="43" t="s">
        <v>90</v>
      </c>
      <c r="L100" s="43"/>
      <c r="M100" s="44" t="str">
        <f aca="false">IF(AND(U100=1,N100="",AR100&gt;0,AR100&lt;&gt;""),"TODO !","")</f>
        <v/>
      </c>
      <c r="N100" s="134" t="n">
        <v>17.58</v>
      </c>
      <c r="O100" s="130" t="s">
        <v>64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 t="n">
        <v>1</v>
      </c>
      <c r="V100" s="48" t="n">
        <v>1</v>
      </c>
      <c r="W100" s="26" t="str">
        <f aca="false">IF(AND(U100=1,V100=0),"Bonus","")</f>
        <v/>
      </c>
      <c r="X100" s="26"/>
      <c r="Y100" s="49" t="n">
        <f aca="false">IF(U100=1,AR100,"")</f>
        <v>6</v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2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n">
        <f aca="false">IF(J100="x",AN$4,"")</f>
        <v>3</v>
      </c>
      <c r="AO100" s="2"/>
      <c r="AP100" s="48" t="n">
        <f aca="false">COUNTIF(G100:J100,"=x")</f>
        <v>1</v>
      </c>
      <c r="AQ100" s="48" t="n">
        <f aca="false">IF(AP100&gt;0,AVERAGE(AK100:AN100),"")</f>
        <v>3</v>
      </c>
      <c r="AR100" s="48" t="n">
        <f aca="false">IF(AND(AP100&gt;0,U100=1),AQ100*R100,"")</f>
        <v>6</v>
      </c>
      <c r="AS100" s="2"/>
      <c r="AT100" s="48" t="n">
        <f aca="false">AI100*3</f>
        <v>6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 t="s">
        <v>22</v>
      </c>
      <c r="K103" s="35"/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23</v>
      </c>
      <c r="P103" s="138" t="s">
        <v>94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30</v>
      </c>
      <c r="AW103" s="54" t="n">
        <f aca="false">SUM(AT103:AT108)</f>
        <v>30</v>
      </c>
    </row>
    <row r="104" customFormat="false" ht="12.8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/>
      <c r="L104" s="35"/>
      <c r="M104" s="44"/>
      <c r="N104" s="45"/>
      <c r="O104" s="46" t="s">
        <v>23</v>
      </c>
      <c r="P104" s="138" t="s">
        <v>94</v>
      </c>
      <c r="Q104" s="35"/>
      <c r="R104" s="47" t="n">
        <v>2</v>
      </c>
      <c r="S104" s="8"/>
      <c r="U104" s="48"/>
      <c r="V104" s="48"/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0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0</v>
      </c>
      <c r="AV104" s="54"/>
      <c r="AW104" s="54"/>
    </row>
    <row r="105" customFormat="false" ht="13.2" hidden="false" customHeight="true" outlineLevel="0" collapsed="false">
      <c r="B105" s="22"/>
      <c r="C105" s="82" t="s">
        <v>97</v>
      </c>
      <c r="E105" s="137" t="s">
        <v>98</v>
      </c>
      <c r="F105" s="34"/>
      <c r="G105" s="41"/>
      <c r="H105" s="58"/>
      <c r="I105" s="42"/>
      <c r="J105" s="41" t="s">
        <v>22</v>
      </c>
      <c r="K105" s="35"/>
      <c r="L105" s="35"/>
      <c r="M105" s="44" t="str">
        <f aca="false">IF(AND(U105=1,N105="",AR105&gt;0,AR105&lt;&gt;""),"TODO !","")</f>
        <v/>
      </c>
      <c r="N105" s="140" t="n">
        <v>149</v>
      </c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n">
        <f aca="false">IF(U105=1,AR105,"")</f>
        <v>6</v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n">
        <f aca="false">IF(J105="x",AN$4,"")</f>
        <v>3</v>
      </c>
      <c r="AO105" s="2"/>
      <c r="AP105" s="48" t="n">
        <f aca="false">COUNTIF(G105:J105,"=x")</f>
        <v>1</v>
      </c>
      <c r="AQ105" s="48" t="n">
        <f aca="false">IF(AP105&gt;0,AVERAGE(AK105:AN105),"")</f>
        <v>3</v>
      </c>
      <c r="AR105" s="48" t="n">
        <f aca="false">IF(AND(AP105&gt;0,U105=1),AQ105*R105,"")</f>
        <v>6</v>
      </c>
      <c r="AS105" s="2"/>
      <c r="AT105" s="48" t="n">
        <f aca="false">AI105*3</f>
        <v>6</v>
      </c>
      <c r="AV105" s="54"/>
      <c r="AW105" s="54"/>
    </row>
    <row r="106" customFormat="false" ht="12.8" hidden="false" customHeight="false" outlineLevel="0" collapsed="false">
      <c r="B106" s="22"/>
      <c r="C106" s="82" t="s">
        <v>99</v>
      </c>
      <c r="E106" s="137"/>
      <c r="F106" s="34"/>
      <c r="G106" s="41"/>
      <c r="H106" s="58"/>
      <c r="I106" s="42"/>
      <c r="J106" s="41"/>
      <c r="K106" s="35"/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/>
      <c r="V106" s="48"/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0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0</v>
      </c>
      <c r="AV106" s="54"/>
      <c r="AW106" s="54"/>
    </row>
    <row r="107" customFormat="false" ht="12.8" hidden="false" customHeight="false" outlineLevel="0" collapsed="false">
      <c r="B107" s="22"/>
      <c r="C107" s="82" t="s">
        <v>100</v>
      </c>
      <c r="D107" s="34"/>
      <c r="E107" s="137"/>
      <c r="F107" s="34"/>
      <c r="G107" s="41"/>
      <c r="H107" s="58"/>
      <c r="I107" s="42"/>
      <c r="J107" s="41" t="s">
        <v>22</v>
      </c>
      <c r="K107" s="35"/>
      <c r="L107" s="35"/>
      <c r="M107" s="44" t="str">
        <f aca="false">IF(AND(U107=1,N107="",AR107&gt;0,AR107&lt;&gt;""),"TODO !","")</f>
        <v/>
      </c>
      <c r="N107" s="140" t="n">
        <v>69</v>
      </c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n">
        <f aca="false">IF(U107=1,AR107,"")</f>
        <v>6</v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n">
        <f aca="false">IF(J107="x",AN$4,"")</f>
        <v>3</v>
      </c>
      <c r="AO107" s="2"/>
      <c r="AP107" s="48" t="n">
        <f aca="false">COUNTIF(G107:J107,"=x")</f>
        <v>1</v>
      </c>
      <c r="AQ107" s="48" t="n">
        <f aca="false">IF(AP107&gt;0,AVERAGE(AK107:AN107),"")</f>
        <v>3</v>
      </c>
      <c r="AR107" s="48" t="n">
        <f aca="false">IF(AND(AP107&gt;0,U107=1),AQ107*R107,"")</f>
        <v>6</v>
      </c>
      <c r="AS107" s="2"/>
      <c r="AT107" s="48" t="n">
        <f aca="false">AI107*3</f>
        <v>6</v>
      </c>
      <c r="AV107" s="54"/>
      <c r="AW107" s="54"/>
    </row>
    <row r="108" customFormat="false" ht="12.8" hidden="false" customHeight="false" outlineLevel="0" collapsed="false">
      <c r="B108" s="22"/>
      <c r="C108" s="55" t="s">
        <v>101</v>
      </c>
      <c r="D108" s="56"/>
      <c r="E108" s="137"/>
      <c r="F108" s="34"/>
      <c r="G108" s="41"/>
      <c r="H108" s="58"/>
      <c r="I108" s="42"/>
      <c r="J108" s="41" t="s">
        <v>22</v>
      </c>
      <c r="K108" s="35"/>
      <c r="L108" s="35"/>
      <c r="M108" s="44" t="str">
        <f aca="false">IF(AND(U108=1,N108="",AR108&gt;0,AR108&lt;&gt;""),"TODO !","")</f>
        <v/>
      </c>
      <c r="N108" s="140" t="n">
        <v>246</v>
      </c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n">
        <f aca="false">IF(U108=1,AR108,"")</f>
        <v>6</v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n">
        <f aca="false">IF(J108="x",AN$4,"")</f>
        <v>3</v>
      </c>
      <c r="AO108" s="2"/>
      <c r="AP108" s="48" t="n">
        <f aca="false">COUNTIF(G108:J108,"=x")</f>
        <v>1</v>
      </c>
      <c r="AQ108" s="48" t="n">
        <f aca="false">IF(AP108&gt;0,AVERAGE(AK108:AN108),"")</f>
        <v>3</v>
      </c>
      <c r="AR108" s="48" t="n">
        <f aca="false">IF(AND(AP108&gt;0,U108=1),AQ108*R108,"")</f>
        <v>6</v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2.8" hidden="false" customHeight="false" outlineLevel="0" collapsed="false">
      <c r="B111" s="99" t="s">
        <v>102</v>
      </c>
      <c r="C111" s="38" t="s">
        <v>103</v>
      </c>
      <c r="D111" s="39"/>
      <c r="E111" s="92"/>
      <c r="F111" s="34"/>
      <c r="G111" s="41"/>
      <c r="H111" s="142"/>
      <c r="I111" s="42"/>
      <c r="J111" s="41" t="s">
        <v>22</v>
      </c>
      <c r="K111" s="43"/>
      <c r="L111" s="43"/>
      <c r="M111" s="44" t="str">
        <f aca="false">IF(AND(U111=1,N111="",AR111&gt;0,AR111&lt;&gt;""),"TODO !","")</f>
        <v/>
      </c>
      <c r="N111" s="140" t="n">
        <v>66</v>
      </c>
      <c r="O111" s="61" t="s">
        <v>27</v>
      </c>
      <c r="P111" s="43" t="s">
        <v>104</v>
      </c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n">
        <f aca="false">IF(U111=1,AR111,"")</f>
        <v>6</v>
      </c>
      <c r="Z111" s="2"/>
      <c r="AA111" s="2"/>
      <c r="AB111" s="2"/>
      <c r="AC111" s="2"/>
      <c r="AD111" s="2"/>
      <c r="AE111" s="141"/>
      <c r="AG111" s="53" t="s">
        <v>105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n">
        <f aca="false">IF(J111="x",AN$4,"")</f>
        <v>3</v>
      </c>
      <c r="AO111" s="2"/>
      <c r="AP111" s="48" t="n">
        <f aca="false">COUNTIF(G111:J111,"=x")</f>
        <v>1</v>
      </c>
      <c r="AQ111" s="48" t="n">
        <f aca="false">IF(AP111&gt;0,AVERAGE(AK111:AN111),"")</f>
        <v>3</v>
      </c>
      <c r="AR111" s="48" t="n">
        <f aca="false">IF(AND(AP111&gt;0,U111=1),AQ111*R111,"")</f>
        <v>6</v>
      </c>
      <c r="AS111" s="2"/>
      <c r="AT111" s="48" t="n">
        <f aca="false">AI111*3</f>
        <v>6</v>
      </c>
      <c r="AV111" s="54" t="n">
        <f aca="false">SUM(AR111:AR114)</f>
        <v>36</v>
      </c>
      <c r="AW111" s="54" t="n">
        <f aca="false">SUM(AT111:AT114)</f>
        <v>36</v>
      </c>
    </row>
    <row r="112" customFormat="false" ht="12.8" hidden="false" customHeight="false" outlineLevel="0" collapsed="false">
      <c r="B112" s="99"/>
      <c r="C112" s="82" t="s">
        <v>106</v>
      </c>
      <c r="D112" s="34"/>
      <c r="E112" s="93"/>
      <c r="F112" s="34"/>
      <c r="G112" s="41"/>
      <c r="H112" s="142"/>
      <c r="I112" s="42"/>
      <c r="J112" s="41" t="s">
        <v>22</v>
      </c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n">
        <f aca="false">IF(U112=1,AR112,"")</f>
        <v>15</v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n">
        <f aca="false">IF(J112="x",AN$4,"")</f>
        <v>3</v>
      </c>
      <c r="AO112" s="2"/>
      <c r="AP112" s="48" t="n">
        <f aca="false">COUNTIF(G112:J112,"=x")</f>
        <v>1</v>
      </c>
      <c r="AQ112" s="48" t="n">
        <f aca="false">IF(AP112&gt;0,AVERAGE(AK112:AN112),"")</f>
        <v>3</v>
      </c>
      <c r="AR112" s="48" t="n">
        <f aca="false">IF(AND(AP112&gt;0,U112=1),AQ112*R112,"")</f>
        <v>15</v>
      </c>
      <c r="AS112" s="2"/>
      <c r="AT112" s="48" t="n">
        <f aca="false">AI112*3</f>
        <v>15</v>
      </c>
      <c r="AV112" s="54"/>
      <c r="AW112" s="54"/>
    </row>
    <row r="113" customFormat="false" ht="12.8" hidden="false" customHeight="false" outlineLevel="0" collapsed="false">
      <c r="B113" s="99"/>
      <c r="C113" s="82" t="s">
        <v>107</v>
      </c>
      <c r="D113" s="34"/>
      <c r="E113" s="93"/>
      <c r="F113" s="34"/>
      <c r="G113" s="41"/>
      <c r="H113" s="142"/>
      <c r="I113" s="42"/>
      <c r="J113" s="41" t="s">
        <v>22</v>
      </c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n">
        <f aca="false">IF(U113=1,AR113,"")</f>
        <v>9</v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n">
        <f aca="false">IF(J113="x",AN$4,"")</f>
        <v>3</v>
      </c>
      <c r="AO113" s="2"/>
      <c r="AP113" s="48" t="n">
        <f aca="false">COUNTIF(G113:J113,"=x")</f>
        <v>1</v>
      </c>
      <c r="AQ113" s="48" t="n">
        <f aca="false">IF(AP113&gt;0,AVERAGE(AK113:AN113),"")</f>
        <v>3</v>
      </c>
      <c r="AR113" s="48" t="n">
        <f aca="false">IF(AND(AP113&gt;0,U113=1),AQ113*R113,"")</f>
        <v>9</v>
      </c>
      <c r="AS113" s="2"/>
      <c r="AT113" s="48" t="n">
        <f aca="false">AI113*3</f>
        <v>9</v>
      </c>
      <c r="AV113" s="54"/>
      <c r="AW113" s="54"/>
    </row>
    <row r="114" customFormat="false" ht="12.8" hidden="false" customHeight="false" outlineLevel="0" collapsed="false">
      <c r="B114" s="99"/>
      <c r="C114" s="55" t="s">
        <v>108</v>
      </c>
      <c r="D114" s="56"/>
      <c r="E114" s="97"/>
      <c r="F114" s="34"/>
      <c r="G114" s="143"/>
      <c r="H114" s="144"/>
      <c r="I114" s="143"/>
      <c r="J114" s="143" t="s">
        <v>22</v>
      </c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n">
        <f aca="false">IF(U114=1,AR114,"")</f>
        <v>6</v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n">
        <f aca="false">IF(J114="x",AN$4,"")</f>
        <v>3</v>
      </c>
      <c r="AO114" s="2"/>
      <c r="AP114" s="48" t="n">
        <f aca="false">COUNTIF(G114:J114,"=x")</f>
        <v>1</v>
      </c>
      <c r="AQ114" s="48" t="n">
        <f aca="false">IF(AP114&gt;0,AVERAGE(AK114:AN114),"")</f>
        <v>3</v>
      </c>
      <c r="AR114" s="48" t="n">
        <f aca="false">IF(AND(AP114&gt;0,U114=1),AQ114*R114,"")</f>
        <v>6</v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109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110</v>
      </c>
      <c r="C117" s="146"/>
      <c r="D117" s="147"/>
      <c r="E117" s="148" t="s">
        <v>111</v>
      </c>
      <c r="G117" s="29" t="s">
        <v>112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0.5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113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1</v>
      </c>
      <c r="AR117" s="48" t="n">
        <f aca="false">AI117*AQ117</f>
        <v>0.5</v>
      </c>
      <c r="AS117" s="2"/>
      <c r="AT117" s="48" t="n">
        <f aca="false">AI117</f>
        <v>0.5</v>
      </c>
      <c r="AV117" s="54" t="n">
        <f aca="false">SUM(AR117:AR124)</f>
        <v>4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114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115</v>
      </c>
      <c r="G119" s="29" t="n">
        <v>3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0.5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1</v>
      </c>
      <c r="AR119" s="48" t="n">
        <f aca="false">AI119*AQ119</f>
        <v>0.5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116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117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118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119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120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121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122</v>
      </c>
      <c r="E127" s="161"/>
      <c r="G127" s="162" t="n">
        <f aca="false">ROUND(AT132,1)</f>
        <v>6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490</v>
      </c>
      <c r="Z127" s="166" t="s">
        <v>123</v>
      </c>
      <c r="AA127" s="167" t="n">
        <f aca="false">AT127</f>
        <v>490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490</v>
      </c>
      <c r="AT127" s="166" t="n">
        <f aca="false">SUM(AT6:AT124)</f>
        <v>490</v>
      </c>
      <c r="AV127" s="168" t="n">
        <f aca="false">SUM(AV6:AV124)</f>
        <v>490</v>
      </c>
      <c r="AW127" s="168" t="n">
        <f aca="false">SUM(AW6:AW124)</f>
        <v>490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124</v>
      </c>
      <c r="AS128" s="2"/>
      <c r="AT128" s="32" t="s">
        <v>125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126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127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128</v>
      </c>
      <c r="Z132" s="175"/>
      <c r="AA132" s="175"/>
      <c r="AB132" s="175"/>
      <c r="AE132" s="176" t="s">
        <v>129</v>
      </c>
      <c r="AF132" s="5"/>
      <c r="AG132" s="5"/>
      <c r="AT132" s="177" t="n">
        <f aca="false">(AT136*AR127)+AT135</f>
        <v>6.00000000000002</v>
      </c>
    </row>
    <row r="133" customFormat="false" ht="13.5" hidden="false" customHeight="true" outlineLevel="0" collapsed="false">
      <c r="M133" s="8" t="s">
        <v>130</v>
      </c>
      <c r="N133" s="8"/>
      <c r="O133" s="8"/>
      <c r="P133" s="8"/>
      <c r="S133" s="8" t="s">
        <v>131</v>
      </c>
      <c r="T133" s="8"/>
      <c r="U133" s="8"/>
      <c r="V133" s="8"/>
      <c r="Y133" s="8" t="s">
        <v>132</v>
      </c>
      <c r="Z133" s="8"/>
      <c r="AA133" s="8"/>
      <c r="AB133" s="8"/>
      <c r="AT133" s="32" t="s">
        <v>122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133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134</v>
      </c>
      <c r="C136" s="40" t="s">
        <v>135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6</v>
      </c>
      <c r="T136" s="162"/>
      <c r="U136" s="162"/>
      <c r="V136" s="162"/>
      <c r="Y136" s="182" t="n">
        <f aca="false">MAX(1,MIN(S136,6))</f>
        <v>6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136</v>
      </c>
      <c r="AS136" s="186"/>
      <c r="AT136" s="187" t="n">
        <f aca="false">5/AT127</f>
        <v>0.0102040816326531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137</v>
      </c>
      <c r="C137" s="189" t="s">
        <v>138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139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140</v>
      </c>
      <c r="C138" s="192" t="s">
        <v>141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142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143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134</v>
      </c>
      <c r="C142" s="40" t="s">
        <v>135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6</v>
      </c>
      <c r="T142" s="162"/>
      <c r="U142" s="162"/>
      <c r="V142" s="162"/>
      <c r="Y142" s="182" t="n">
        <f aca="false">MAX(1,MIN(S142,6))</f>
        <v>6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137</v>
      </c>
      <c r="C143" s="189" t="s">
        <v>144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140</v>
      </c>
      <c r="C144" s="192" t="s">
        <v>145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143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146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134</v>
      </c>
      <c r="C148" s="40" t="s">
        <v>147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6</v>
      </c>
      <c r="T148" s="162"/>
      <c r="U148" s="162"/>
      <c r="V148" s="162"/>
      <c r="Y148" s="182" t="n">
        <f aca="false">MAX(1,MIN(S148,6))</f>
        <v>6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137</v>
      </c>
      <c r="C149" s="189" t="s">
        <v>147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140</v>
      </c>
      <c r="C150" s="189" t="s">
        <v>147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143</v>
      </c>
      <c r="C151" s="195" t="s">
        <v>147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146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148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143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149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150</v>
      </c>
      <c r="O156" s="34"/>
      <c r="P156" s="93"/>
      <c r="Q156" s="21" t="s">
        <v>151</v>
      </c>
    </row>
    <row r="157" customFormat="false" ht="13.2" hidden="false" customHeight="false" outlineLevel="0" collapsed="false">
      <c r="M157" s="82"/>
      <c r="N157" s="34" t="s">
        <v>152</v>
      </c>
      <c r="O157" s="34"/>
      <c r="P157" s="93"/>
      <c r="Q157" s="21" t="s">
        <v>153</v>
      </c>
    </row>
    <row r="158" customFormat="false" ht="13.2" hidden="false" customHeight="false" outlineLevel="0" collapsed="false">
      <c r="M158" s="82" t="s">
        <v>154</v>
      </c>
      <c r="N158" s="34"/>
      <c r="O158" s="34"/>
      <c r="P158" s="93"/>
      <c r="Q158" s="21" t="s">
        <v>153</v>
      </c>
    </row>
    <row r="159" customFormat="false" ht="13.2" hidden="false" customHeight="false" outlineLevel="0" collapsed="false">
      <c r="M159" s="82" t="s">
        <v>155</v>
      </c>
      <c r="N159" s="34"/>
      <c r="O159" s="34"/>
      <c r="P159" s="93"/>
      <c r="Q159" s="21" t="s">
        <v>151</v>
      </c>
    </row>
    <row r="160" customFormat="false" ht="13.2" hidden="false" customHeight="false" outlineLevel="0" collapsed="false">
      <c r="M160" s="82" t="s">
        <v>156</v>
      </c>
      <c r="P160" s="96"/>
      <c r="Q160" s="21" t="s">
        <v>151</v>
      </c>
    </row>
    <row r="161" customFormat="false" ht="13.2" hidden="false" customHeight="false" outlineLevel="0" collapsed="false">
      <c r="M161" s="55" t="s">
        <v>157</v>
      </c>
      <c r="N161" s="132"/>
      <c r="O161" s="132"/>
      <c r="P161" s="199"/>
      <c r="Q161" s="21" t="s">
        <v>153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128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158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159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38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40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38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38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e">
        <f aca="false">IF(Y84&lt;&gt;ByStudent!Y84,Y84-ByStudent!Y84,0)</f>
        <v>#VALUE!</v>
      </c>
      <c r="AD84" s="50"/>
      <c r="AE84" s="74"/>
      <c r="AF84" s="0" t="e">
        <f aca="false">IF(AND(AC84&lt;0,AE84=""),"TODO !","")</f>
        <v>#VALUE!</v>
      </c>
      <c r="AG84" s="53" t="s">
        <v>77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e">
        <f aca="false">IF(Y85&lt;&gt;ByStudent!Y85,Y85-ByStudent!Y85,0)</f>
        <v>#VALUE!</v>
      </c>
      <c r="AD85" s="50"/>
      <c r="AE85" s="74"/>
      <c r="AF85" s="0" t="e">
        <f aca="false">IF(AND(AC85&lt;0,AE85=""),"TODO !","")</f>
        <v>#VALUE!</v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e">
        <f aca="false">IF(Y86&lt;&gt;ByStudent!Y86,Y86-ByStudent!Y86,0)</f>
        <v>#VALUE!</v>
      </c>
      <c r="AD86" s="50"/>
      <c r="AE86" s="74"/>
      <c r="AF86" s="0" t="e">
        <f aca="false">IF(AND(AC86&lt;0,AE86=""),"TODO !","")</f>
        <v>#VALUE!</v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38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e">
        <f aca="false">IF(Y88&lt;&gt;ByStudent!Y88,Y88-ByStudent!Y88,0)</f>
        <v>#VALUE!</v>
      </c>
      <c r="AD88" s="50"/>
      <c r="AE88" s="74"/>
      <c r="AF88" s="0" t="e">
        <f aca="false">IF(AND(AC88&lt;0,AE88=""),"TODO !","")</f>
        <v>#VALUE!</v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e">
        <f aca="false">IF(Y89&lt;&gt;ByStudent!Y89,Y89-ByStudent!Y89,0)</f>
        <v>#VALUE!</v>
      </c>
      <c r="AD89" s="50"/>
      <c r="AE89" s="74"/>
      <c r="AF89" s="0" t="e">
        <f aca="false">IF(AND(AC89&lt;0,AE89=""),"TODO !","")</f>
        <v>#VALUE!</v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e">
        <f aca="false">IF(Y90&lt;&gt;ByStudent!Y90,Y90-ByStudent!Y90,0)</f>
        <v>#VALUE!</v>
      </c>
      <c r="AD90" s="50"/>
      <c r="AE90" s="74"/>
      <c r="AF90" s="0" t="e">
        <f aca="false">IF(AND(AC90&lt;0,AE90=""),"TODO !","")</f>
        <v>#VALUE!</v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e">
        <f aca="false">IF(Y93&lt;&gt;ByStudent!Y93,Y93-ByStudent!Y93,0)</f>
        <v>#VALUE!</v>
      </c>
      <c r="AD93" s="50"/>
      <c r="AE93" s="74"/>
      <c r="AF93" s="0" t="e">
        <f aca="false">IF(AND(AC93&lt;0,AE93=""),"TODO !","")</f>
        <v>#VALUE!</v>
      </c>
      <c r="AG93" s="53" t="s">
        <v>86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87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e">
        <f aca="false">IF(Y94&lt;&gt;ByStudent!Y94,Y94-ByStudent!Y94,0)</f>
        <v>#VALUE!</v>
      </c>
      <c r="AD94" s="50"/>
      <c r="AE94" s="74"/>
      <c r="AF94" s="0" t="e">
        <f aca="false">IF(AND(AC94&lt;0,AE94=""),"TODO !","")</f>
        <v>#VALUE!</v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84</v>
      </c>
      <c r="D95" s="34" t="s">
        <v>30</v>
      </c>
      <c r="E95" s="93" t="s">
        <v>85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e">
        <f aca="false">IF(Y95&lt;&gt;ByStudent!Y95,Y95-ByStudent!Y95,0)</f>
        <v>#VALUE!</v>
      </c>
      <c r="AD95" s="50"/>
      <c r="AE95" s="74"/>
      <c r="AF95" s="0" t="e">
        <f aca="false">IF(AND(AC95&lt;0,AE95=""),"TODO !","")</f>
        <v>#VALUE!</v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87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e">
        <f aca="false">IF(Y96&lt;&gt;ByStudent!Y96,Y96-ByStudent!Y96,0)</f>
        <v>#VALUE!</v>
      </c>
      <c r="AD96" s="50"/>
      <c r="AE96" s="74"/>
      <c r="AF96" s="0" t="e">
        <f aca="false">IF(AND(AC96&lt;0,AE96=""),"TODO !","")</f>
        <v>#VALUE!</v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e">
        <f aca="false">IF(Y97&lt;&gt;ByStudent!Y97,Y97-ByStudent!Y97,0)</f>
        <v>#VALUE!</v>
      </c>
      <c r="AD97" s="50"/>
      <c r="AE97" s="74"/>
      <c r="AF97" s="0" t="e">
        <f aca="false">IF(AND(AC97&lt;0,AE97=""),"TODO !","")</f>
        <v>#VALUE!</v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87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e">
        <f aca="false">IF(Y98&lt;&gt;ByStudent!Y98,Y98-ByStudent!Y98,0)</f>
        <v>#VALUE!</v>
      </c>
      <c r="AD98" s="50"/>
      <c r="AE98" s="74"/>
      <c r="AF98" s="0" t="e">
        <f aca="false">IF(AND(AC98&lt;0,AE98=""),"TODO !","")</f>
        <v>#VALUE!</v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84</v>
      </c>
      <c r="D99" s="34" t="s">
        <v>160</v>
      </c>
      <c r="E99" s="93" t="s">
        <v>85</v>
      </c>
      <c r="F99" s="3" t="s">
        <v>55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e">
        <f aca="false">IF(Y99&lt;&gt;ByStudent!Y99,Y99-ByStudent!Y99,0)</f>
        <v>#VALUE!</v>
      </c>
      <c r="AD99" s="50"/>
      <c r="AE99" s="74"/>
      <c r="AF99" s="0" t="e">
        <f aca="false">IF(AND(AC99&lt;0,AE99=""),"TODO !","")</f>
        <v>#VALUE!</v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e">
        <f aca="false">IF(Y100&lt;&gt;ByStudent!Y100,Y100-ByStudent!Y100,0)</f>
        <v>#VALUE!</v>
      </c>
      <c r="AD100" s="50"/>
      <c r="AE100" s="74"/>
      <c r="AF100" s="0" t="e">
        <f aca="false">IF(AND(AC100&lt;0,AE100=""),"TODO !","")</f>
        <v>#VALUE!</v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97</v>
      </c>
      <c r="E105" s="137" t="s">
        <v>98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e">
        <f aca="false">IF(Y105&lt;&gt;ByStudent!Y105,Y105-ByStudent!Y105,0)</f>
        <v>#VALUE!</v>
      </c>
      <c r="AE105" s="208"/>
      <c r="AF105" s="0" t="e">
        <f aca="false">IF(AND(AC105&lt;0,AE105=""),"TODO !","")</f>
        <v>#VALUE!</v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99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100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e">
        <f aca="false">IF(Y107&lt;&gt;ByStudent!Y107,Y107-ByStudent!Y107,0)</f>
        <v>#VALUE!</v>
      </c>
      <c r="AE107" s="208"/>
      <c r="AF107" s="0" t="e">
        <f aca="false">IF(AND(AC107&lt;0,AE107=""),"TODO !","")</f>
        <v>#VALUE!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101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e">
        <f aca="false">IF(Y108&lt;&gt;ByStudent!Y108,Y108-ByStudent!Y108,0)</f>
        <v>#VALUE!</v>
      </c>
      <c r="AE108" s="208"/>
      <c r="AF108" s="0" t="e">
        <f aca="false">IF(AND(AC108&lt;0,AE108=""),"TODO !","")</f>
        <v>#VALUE!</v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102</v>
      </c>
      <c r="C111" s="38" t="s">
        <v>103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e">
        <f aca="false">IF(Y111&lt;&gt;ByStudent!Y111,Y111-ByStudent!Y111,0)</f>
        <v>#VALUE!</v>
      </c>
      <c r="AD111" s="2"/>
      <c r="AE111" s="208"/>
      <c r="AF111" s="0" t="e">
        <f aca="false">IF(AND(AC111&lt;0,AE111=""),"TODO !","")</f>
        <v>#VALUE!</v>
      </c>
      <c r="AG111" s="53" t="s">
        <v>105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106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e">
        <f aca="false">IF(Y112&lt;&gt;ByStudent!Y112,Y112-ByStudent!Y112,0)</f>
        <v>#VALUE!</v>
      </c>
      <c r="AD112" s="2"/>
      <c r="AE112" s="208"/>
      <c r="AF112" s="0" t="e">
        <f aca="false">IF(AND(AC112&lt;0,AE112=""),"TODO !","")</f>
        <v>#VALUE!</v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107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e">
        <f aca="false">IF(Y113&lt;&gt;ByStudent!Y113,Y113-ByStudent!Y113,0)</f>
        <v>#VALUE!</v>
      </c>
      <c r="AD113" s="2"/>
      <c r="AE113" s="208"/>
      <c r="AF113" s="0" t="e">
        <f aca="false">IF(AND(AC113&lt;0,AE113=""),"TODO !","")</f>
        <v>#VALUE!</v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108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e">
        <f aca="false">IF(Y114&lt;&gt;ByStudent!Y114,Y114-ByStudent!Y114,0)</f>
        <v>#VALUE!</v>
      </c>
      <c r="AE114" s="208"/>
      <c r="AF114" s="0" t="e">
        <f aca="false">IF(AND(AC114&lt;0,AE114=""),"TODO !","")</f>
        <v>#VALUE!</v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109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110</v>
      </c>
      <c r="C117" s="146"/>
      <c r="D117" s="147"/>
      <c r="E117" s="148" t="s">
        <v>111</v>
      </c>
      <c r="G117" s="209" t="str">
        <f aca="false">IF(ByStudent!G117&lt;&gt;"",ByStudent!G117,"")</f>
        <v>RTX 2080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0.5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113</v>
      </c>
      <c r="AH117" s="2"/>
      <c r="AI117" s="48" t="n">
        <f aca="false">U117*V117*R117</f>
        <v>0.5</v>
      </c>
      <c r="AJ117" s="2"/>
      <c r="AK117" s="152" t="s">
        <v>112</v>
      </c>
      <c r="AL117" s="152"/>
      <c r="AM117" s="152"/>
      <c r="AN117" s="152"/>
      <c r="AO117" s="2"/>
      <c r="AQ117" s="153" t="n">
        <f aca="false">ISNUMBER(SEARCH(         UPPER(AK117), UPPER(G117)        ))</f>
        <v>1</v>
      </c>
      <c r="AR117" s="48" t="n">
        <f aca="false">AI117*AQ117</f>
        <v>0.5</v>
      </c>
      <c r="AS117" s="2"/>
      <c r="AT117" s="48" t="n">
        <f aca="false">AI117</f>
        <v>0.5</v>
      </c>
      <c r="AV117" s="54" t="n">
        <f aca="false">SUM(AR117:AR124)</f>
        <v>4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114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115</v>
      </c>
      <c r="G119" s="210" t="n">
        <f aca="false">IF(ByStudent!G119&lt;&gt;"",ByStudent!G119,"")</f>
        <v>3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0.5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1</v>
      </c>
      <c r="AR119" s="48" t="n">
        <f aca="false">AI119*AQ119</f>
        <v>0.5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116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117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118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119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120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121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161</v>
      </c>
      <c r="AC126" s="212" t="s">
        <v>161</v>
      </c>
    </row>
    <row r="127" customFormat="false" ht="24" hidden="false" customHeight="false" outlineLevel="0" collapsed="false">
      <c r="D127" s="161" t="s">
        <v>122</v>
      </c>
      <c r="E127" s="161"/>
      <c r="G127" s="162" t="n">
        <f aca="false">ROUND(AT132,1)</f>
        <v>1.1</v>
      </c>
      <c r="H127" s="162"/>
      <c r="I127" s="162"/>
      <c r="J127" s="162"/>
      <c r="K127" s="163"/>
      <c r="L127" s="162" t="n">
        <f aca="false">G127-ByStudent!G127</f>
        <v>-4.9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4</v>
      </c>
      <c r="Z127" s="166" t="s">
        <v>123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4</v>
      </c>
      <c r="AT127" s="166" t="n">
        <f aca="false">SUM(AT6:AT124)</f>
        <v>370</v>
      </c>
      <c r="AV127" s="168" t="n">
        <f aca="false">SUM(AV6:AV124)</f>
        <v>4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124</v>
      </c>
      <c r="AS128" s="2"/>
      <c r="AT128" s="32" t="s">
        <v>125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126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127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128</v>
      </c>
      <c r="Z132" s="175"/>
      <c r="AA132" s="175"/>
      <c r="AB132" s="175"/>
      <c r="AE132" s="176" t="s">
        <v>129</v>
      </c>
      <c r="AF132" s="5"/>
      <c r="AG132" s="5"/>
      <c r="AI132" s="212" t="s">
        <v>161</v>
      </c>
      <c r="AT132" s="177" t="n">
        <f aca="false">(AT136*AR127)+AT135</f>
        <v>1.05405405405405</v>
      </c>
    </row>
    <row r="133" customFormat="false" ht="13.5" hidden="false" customHeight="true" outlineLevel="0" collapsed="false">
      <c r="M133" s="8" t="s">
        <v>130</v>
      </c>
      <c r="N133" s="8"/>
      <c r="O133" s="8"/>
      <c r="P133" s="8"/>
      <c r="S133" s="8" t="s">
        <v>131</v>
      </c>
      <c r="T133" s="8"/>
      <c r="U133" s="8"/>
      <c r="V133" s="8"/>
      <c r="Y133" s="8" t="s">
        <v>132</v>
      </c>
      <c r="Z133" s="8"/>
      <c r="AA133" s="8"/>
      <c r="AB133" s="8"/>
      <c r="AT133" s="32" t="s">
        <v>122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133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134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1.1</v>
      </c>
      <c r="T136" s="162"/>
      <c r="U136" s="162"/>
      <c r="V136" s="162"/>
      <c r="Y136" s="182" t="n">
        <f aca="false">MAX(1,MIN(S136,6))</f>
        <v>1.1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-4.9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136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137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139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140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142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143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134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1.1</v>
      </c>
      <c r="T142" s="162"/>
      <c r="U142" s="162"/>
      <c r="V142" s="162"/>
      <c r="Y142" s="182" t="n">
        <f aca="false">MAX(1,MIN(S142,6))</f>
        <v>1.1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-4.9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137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140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143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146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134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1.1</v>
      </c>
      <c r="T148" s="162"/>
      <c r="U148" s="162"/>
      <c r="V148" s="162"/>
      <c r="Y148" s="182" t="n">
        <f aca="false">MAX(1,MIN(S148,6))</f>
        <v>1.1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-4.9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137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140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143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146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148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143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149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150</v>
      </c>
      <c r="O156" s="34"/>
      <c r="P156" s="93"/>
      <c r="Q156" s="21" t="s">
        <v>151</v>
      </c>
    </row>
    <row r="157" customFormat="false" ht="13.2" hidden="false" customHeight="false" outlineLevel="0" collapsed="false">
      <c r="M157" s="82"/>
      <c r="N157" s="34" t="s">
        <v>152</v>
      </c>
      <c r="O157" s="34"/>
      <c r="P157" s="93"/>
      <c r="Q157" s="21" t="s">
        <v>153</v>
      </c>
    </row>
    <row r="158" customFormat="false" ht="13.2" hidden="false" customHeight="false" outlineLevel="0" collapsed="false">
      <c r="M158" s="82" t="s">
        <v>154</v>
      </c>
      <c r="N158" s="34"/>
      <c r="O158" s="34"/>
      <c r="P158" s="93"/>
      <c r="Q158" s="21" t="s">
        <v>153</v>
      </c>
    </row>
    <row r="159" customFormat="false" ht="13.2" hidden="false" customHeight="false" outlineLevel="0" collapsed="false">
      <c r="M159" s="82" t="s">
        <v>155</v>
      </c>
      <c r="N159" s="34"/>
      <c r="O159" s="34"/>
      <c r="P159" s="93"/>
      <c r="Q159" s="21" t="s">
        <v>151</v>
      </c>
    </row>
    <row r="160" customFormat="false" ht="13.2" hidden="false" customHeight="false" outlineLevel="0" collapsed="false">
      <c r="M160" s="82" t="s">
        <v>156</v>
      </c>
      <c r="P160" s="96"/>
      <c r="Q160" s="21" t="s">
        <v>151</v>
      </c>
    </row>
    <row r="161" customFormat="false" ht="13.2" hidden="false" customHeight="false" outlineLevel="0" collapsed="false">
      <c r="M161" s="55" t="s">
        <v>157</v>
      </c>
      <c r="N161" s="132"/>
      <c r="O161" s="132"/>
      <c r="P161" s="199"/>
      <c r="Q161" s="21" t="s">
        <v>153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130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2023-05-09T10:34:17Z</dcterms:modified>
  <cp:revision>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