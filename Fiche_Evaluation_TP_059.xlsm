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<sst xmlns="http://schemas.openxmlformats.org/spreadsheetml/2006/main" count="682" uniqueCount="164">
  <si>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</si>
  <si>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</si>
  <si>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</si>
  <si>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</si>
  <si>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</si>
  <si>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</si>
  <si>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</si>
  <si>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</si>
  <si>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</si>
  <si>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</si>
  <si>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</si>
  <si>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</si>
  <si>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</si>
  <si>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</si>
  <si>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</si>
  <si>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</si>
  <si>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</si>
  <si>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</si>
  <si>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</si>
  <si>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</si>
  <si>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</si>
  <si>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</si>
  <si>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</si>
  <si>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ok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</si>
  <si>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</si>
  <si>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</si>
  <si>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</si>
  <si>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</si>
  <si>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</si>
  <si>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</si>
  <si>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</si>
  <si>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</si>
  <si>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</si>
  <si>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</si>
  <si>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</si>
  <si>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</si>
  <si>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</si>
  <si>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</si>
  <si>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</si>
  <si>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</si>
  <si>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</si>
  <si>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</si>
  <si>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</si>
  <si>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</si>
  <si>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</si>
  <si>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</si>
  <si>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</si>
  <si>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</si>
  <si>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</si>
  <si>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</si>
  <si>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</si>
  <si>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</si>
  <si>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</si>
  <si>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</si>
  <si>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</si>
  <si>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</si>
  <si>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</si>
  <si>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</si>
  <si>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</si>
  <si>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</si>
  <si>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</si>
  <si>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</si>
  <si>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</si>
  <si>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</si>
  <si>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</si>
  <si>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</si>
  <si>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</si>
  <si>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</si>
  <si>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</si>
  <si>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</si>
  <si>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</si>
  <si>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</si>
  <si>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</si>
  <si>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</si>
  <si>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</si>
  <si>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</si>
  <si>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</si>
  <si>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</si>
  <si>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</si>
  <si>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</si>
  <si>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</si>
  <si>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</si>
  <si>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</si>
  <si>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</si>
  <si>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</si>
  <si>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</si>
  <si>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</si>
  <si>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</si>
  <si>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</si>
  <si>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</si>
  <si>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</si>
  <si>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</si>
  <si>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</si>
  <si>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</si>
  <si>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</si>
  <si>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</si>
  <si>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</si>
  <si>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</si>
  <si>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</si>
  <si>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</si>
  <si>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</si>
  <si>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</si>
  <si>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</si>
  <si>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</si>
  <si>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</si>
  <si>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</si>
  <si>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</si>
  <si>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</si>
  <si>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</si>
  <si>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</si>
  <si>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</si>
  <si>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</si>
  <si>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</si>
  <si>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</si>
  <si>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</si>
  <si>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</si>
  <si>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</si>
  <si>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</si>
  <si>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</si>
  <si>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</si>
  <si>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</si>
  <si>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</si>
  <si>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</si>
  <si>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</si>
  <si>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</si>
  <si>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</si>
  <si>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</si>
  <si>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</si>
  <si>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</si>
  <si>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</si>
  <si>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</si>
  <si>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</si>
  <si>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</si>
  <si>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</si>
  <si>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</si>
  <si>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</si>
  <si>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</si>
  <si>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</si>
  <si>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</si>
  <si>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</si>
  <si>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</si>
  <si>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</si>
  <si>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</si>
  <si>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</si>
  <si>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</si>
  <si>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</si>
  <si>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</si>
  <si>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</si>
  <si>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</si>
  <si>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</si>
  <si>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</si>
  <si>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</si>
  <si>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</si>
  <si>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</si>
  <si>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</si>
  <si>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</si>
  <si>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</si>
  <si>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</si>
  <si>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</si>
  <si>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</si>
  <si>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</si>
  <si>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Motecarlo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</si>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</sst>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20520</xdr:colOff>
      <xdr:row>2</xdr:row>
      <xdr:rowOff>48240</xdr:rowOff>
    </xdr:from>
    <xdr:to>
      <xdr:col>27</xdr:col>
      <xdr:colOff>177840</xdr:colOff>
      <xdr:row>60</xdr:row>
      <xdr:rowOff>91440</xdr:rowOff>
    </xdr:to>
    <xdr:sp>
      <xdr:nvSpPr>
        <xdr:cNvPr id="0" name="CustomShape 1"/>
        <xdr:cNvSpPr/>
      </xdr:nvSpPr>
      <xdr:spPr>
        <a:xfrm>
          <a:off x="678240" y="383400"/>
          <a:ext cx="8380440" cy="97664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43200</xdr:colOff>
      <xdr:row>73</xdr:row>
      <xdr:rowOff>129600</xdr:rowOff>
    </xdr:to>
    <xdr:sp>
      <xdr:nvSpPr>
        <xdr:cNvPr id="1" name="CustomShape 1"/>
        <xdr:cNvSpPr/>
      </xdr:nvSpPr>
      <xdr:spPr>
        <a:xfrm>
          <a:off x="329400" y="10359720"/>
          <a:ext cx="5963400" cy="20073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53640</xdr:colOff>
      <xdr:row>79</xdr:row>
      <xdr:rowOff>149040</xdr:rowOff>
    </xdr:to>
    <xdr:sp>
      <xdr:nvSpPr>
        <xdr:cNvPr id="2" name="CustomShape 1"/>
        <xdr:cNvSpPr/>
      </xdr:nvSpPr>
      <xdr:spPr>
        <a:xfrm>
          <a:off x="295200" y="12649320"/>
          <a:ext cx="5349960" cy="7430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214560</xdr:colOff>
      <xdr:row>100</xdr:row>
      <xdr:rowOff>53640</xdr:rowOff>
    </xdr:to>
    <xdr:sp>
      <xdr:nvSpPr>
        <xdr:cNvPr id="3" name="CustomShape 1"/>
        <xdr:cNvSpPr/>
      </xdr:nvSpPr>
      <xdr:spPr>
        <a:xfrm>
          <a:off x="357840" y="16198200"/>
          <a:ext cx="2817000" cy="6192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325440</xdr:colOff>
      <xdr:row>85</xdr:row>
      <xdr:rowOff>129600</xdr:rowOff>
    </xdr:to>
    <xdr:sp>
      <xdr:nvSpPr>
        <xdr:cNvPr id="4" name="CustomShape 1"/>
        <xdr:cNvSpPr/>
      </xdr:nvSpPr>
      <xdr:spPr>
        <a:xfrm>
          <a:off x="338760" y="13664520"/>
          <a:ext cx="2617920" cy="714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167040</xdr:colOff>
      <xdr:row>94</xdr:row>
      <xdr:rowOff>129960</xdr:rowOff>
    </xdr:to>
    <xdr:sp>
      <xdr:nvSpPr>
        <xdr:cNvPr id="5" name="CustomShape 1"/>
        <xdr:cNvSpPr/>
      </xdr:nvSpPr>
      <xdr:spPr>
        <a:xfrm>
          <a:off x="295200" y="14661000"/>
          <a:ext cx="9081720" cy="1226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453600</xdr:colOff>
      <xdr:row>2</xdr:row>
      <xdr:rowOff>1501560</xdr:rowOff>
    </xdr:to>
    <xdr:sp>
      <xdr:nvSpPr>
        <xdr:cNvPr id="6" name="CustomShape 1"/>
        <xdr:cNvSpPr/>
      </xdr:nvSpPr>
      <xdr:spPr>
        <a:xfrm>
          <a:off x="5389920" y="816480"/>
          <a:ext cx="1487160" cy="9954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167400</xdr:colOff>
      <xdr:row>2</xdr:row>
      <xdr:rowOff>1506240</xdr:rowOff>
    </xdr:from>
    <xdr:to>
      <xdr:col>11</xdr:col>
      <xdr:colOff>325440</xdr:colOff>
      <xdr:row>6</xdr:row>
      <xdr:rowOff>110880</xdr:rowOff>
    </xdr:to>
    <xdr:sp>
      <xdr:nvSpPr>
        <xdr:cNvPr id="7" name="CustomShape 1"/>
        <xdr:cNvSpPr/>
      </xdr:nvSpPr>
      <xdr:spPr>
        <a:xfrm flipH="1">
          <a:off x="5205240" y="1816560"/>
          <a:ext cx="916200" cy="8143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80280</xdr:colOff>
      <xdr:row>2</xdr:row>
      <xdr:rowOff>1506240</xdr:rowOff>
    </xdr:from>
    <xdr:to>
      <xdr:col>11</xdr:col>
      <xdr:colOff>325080</xdr:colOff>
      <xdr:row>15</xdr:row>
      <xdr:rowOff>34200</xdr:rowOff>
    </xdr:to>
    <xdr:sp>
      <xdr:nvSpPr>
        <xdr:cNvPr id="8" name="CustomShape 1"/>
        <xdr:cNvSpPr/>
      </xdr:nvSpPr>
      <xdr:spPr>
        <a:xfrm flipH="1">
          <a:off x="5374800" y="1816560"/>
          <a:ext cx="746280" cy="22219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434880</xdr:colOff>
      <xdr:row>2</xdr:row>
      <xdr:rowOff>1358280</xdr:rowOff>
    </xdr:to>
    <xdr:sp>
      <xdr:nvSpPr>
        <xdr:cNvPr id="9" name="CustomShape 1"/>
        <xdr:cNvSpPr/>
      </xdr:nvSpPr>
      <xdr:spPr>
        <a:xfrm>
          <a:off x="5389920" y="920520"/>
          <a:ext cx="1969920" cy="7480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167040</xdr:colOff>
      <xdr:row>2</xdr:row>
      <xdr:rowOff>1362960</xdr:rowOff>
    </xdr:from>
    <xdr:to>
      <xdr:col>12</xdr:col>
      <xdr:colOff>20160</xdr:colOff>
      <xdr:row>6</xdr:row>
      <xdr:rowOff>110880</xdr:rowOff>
    </xdr:to>
    <xdr:sp>
      <xdr:nvSpPr>
        <xdr:cNvPr id="10" name="CustomShape 1"/>
        <xdr:cNvSpPr/>
      </xdr:nvSpPr>
      <xdr:spPr>
        <a:xfrm flipH="1">
          <a:off x="5204880" y="1673280"/>
          <a:ext cx="1175760" cy="9576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80640</xdr:colOff>
      <xdr:row>2</xdr:row>
      <xdr:rowOff>1362960</xdr:rowOff>
    </xdr:from>
    <xdr:to>
      <xdr:col>12</xdr:col>
      <xdr:colOff>19800</xdr:colOff>
      <xdr:row>15</xdr:row>
      <xdr:rowOff>24480</xdr:rowOff>
    </xdr:to>
    <xdr:sp>
      <xdr:nvSpPr>
        <xdr:cNvPr id="11" name="CustomShape 1"/>
        <xdr:cNvSpPr/>
      </xdr:nvSpPr>
      <xdr:spPr>
        <a:xfrm flipH="1">
          <a:off x="5375160" y="1673280"/>
          <a:ext cx="1005120" cy="23706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C98" colorId="64" zoomScale="100" zoomScaleNormal="100" zoomScalePageLayoutView="100" workbookViewId="0">
      <selection pane="topLeft" activeCell="K113" activeCellId="0" sqref="K113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 t="s">
        <v>23</v>
      </c>
      <c r="L6" s="43"/>
      <c r="M6" s="44" t="str">
        <f aca="false">IF(AND(U6=1,N6="",AR6&gt;0,AR6&lt;&gt;""),"TODO !","")</f>
        <v/>
      </c>
      <c r="N6" s="45" t="n">
        <v>173577</v>
      </c>
      <c r="O6" s="46" t="s">
        <v>24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25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26</v>
      </c>
      <c r="D7" s="56"/>
      <c r="E7" s="57" t="s">
        <v>27</v>
      </c>
      <c r="F7" s="34"/>
      <c r="G7" s="41"/>
      <c r="H7" s="41"/>
      <c r="I7" s="58"/>
      <c r="J7" s="59" t="s">
        <v>22</v>
      </c>
      <c r="K7" s="43" t="s">
        <v>23</v>
      </c>
      <c r="L7" s="43"/>
      <c r="M7" s="44"/>
      <c r="N7" s="60" t="n">
        <v>9</v>
      </c>
      <c r="O7" s="61" t="s">
        <v>28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29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30</v>
      </c>
      <c r="C10" s="39" t="s">
        <v>31</v>
      </c>
      <c r="D10" s="39" t="s">
        <v>32</v>
      </c>
      <c r="E10" s="71" t="s">
        <v>33</v>
      </c>
      <c r="F10" s="34"/>
      <c r="G10" s="41"/>
      <c r="H10" s="41"/>
      <c r="I10" s="42"/>
      <c r="J10" s="41" t="s">
        <v>22</v>
      </c>
      <c r="K10" s="43" t="s">
        <v>23</v>
      </c>
      <c r="L10" s="43"/>
      <c r="M10" s="44" t="str">
        <f aca="false">IF(AND(U10=1,N10="",AR10&gt;0,AR10&lt;&gt;""),"TODO !","")</f>
        <v/>
      </c>
      <c r="N10" s="45" t="n">
        <v>14445</v>
      </c>
      <c r="O10" s="46" t="s">
        <v>24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34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31</v>
      </c>
      <c r="D11" s="34" t="s">
        <v>35</v>
      </c>
      <c r="E11" s="71"/>
      <c r="F11" s="34"/>
      <c r="G11" s="41"/>
      <c r="H11" s="41"/>
      <c r="I11" s="42"/>
      <c r="J11" s="41" t="s">
        <v>22</v>
      </c>
      <c r="K11" s="43" t="s">
        <v>23</v>
      </c>
      <c r="L11" s="43"/>
      <c r="M11" s="44" t="str">
        <f aca="false">IF(AND(U11=1,N11="",AR11&gt;0,AR11&lt;&gt;""),"TODO !","")</f>
        <v/>
      </c>
      <c r="N11" s="45" t="n">
        <v>14320</v>
      </c>
      <c r="O11" s="46" t="s">
        <v>24</v>
      </c>
      <c r="P11" s="50" t="n">
        <f aca="false">IF(AND(N11&lt;&gt;"",N10&lt;&gt;""),N11/$N$10,"")</f>
        <v>0.99134648667359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31</v>
      </c>
      <c r="D12" s="34" t="s">
        <v>36</v>
      </c>
      <c r="E12" s="71"/>
      <c r="F12" s="34"/>
      <c r="G12" s="41"/>
      <c r="H12" s="41"/>
      <c r="I12" s="42"/>
      <c r="J12" s="41" t="s">
        <v>22</v>
      </c>
      <c r="K12" s="43" t="s">
        <v>23</v>
      </c>
      <c r="L12" s="43"/>
      <c r="M12" s="44" t="str">
        <f aca="false">IF(AND(U12=1,N12="",AR12&gt;0,AR12&lt;&gt;""),"TODO !","")</f>
        <v/>
      </c>
      <c r="N12" s="45" t="n">
        <v>14313</v>
      </c>
      <c r="O12" s="46" t="s">
        <v>24</v>
      </c>
      <c r="P12" s="50" t="n">
        <f aca="false">IF(AND(N12&lt;&gt;"",N11&lt;&gt;""),N12/$N$10,"")</f>
        <v>0.99086188992731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37</v>
      </c>
      <c r="D13" s="34"/>
      <c r="E13" s="71"/>
      <c r="F13" s="34"/>
      <c r="G13" s="41"/>
      <c r="H13" s="41"/>
      <c r="I13" s="58"/>
      <c r="J13" s="41" t="s">
        <v>22</v>
      </c>
      <c r="K13" s="43" t="s">
        <v>23</v>
      </c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31</v>
      </c>
      <c r="D15" s="34" t="s">
        <v>32</v>
      </c>
      <c r="E15" s="76" t="s">
        <v>38</v>
      </c>
      <c r="F15" s="34"/>
      <c r="G15" s="41"/>
      <c r="H15" s="41"/>
      <c r="I15" s="58"/>
      <c r="J15" s="59" t="s">
        <v>22</v>
      </c>
      <c r="K15" s="43" t="s">
        <v>23</v>
      </c>
      <c r="L15" s="43"/>
      <c r="M15" s="44" t="str">
        <f aca="false">IF(AND(U15=1,N15="",AR15&gt;0,AR15&lt;&gt;""),"TODO !","")</f>
        <v/>
      </c>
      <c r="N15" s="60" t="n">
        <v>9</v>
      </c>
      <c r="O15" s="61" t="s">
        <v>28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31</v>
      </c>
      <c r="D16" s="34" t="s">
        <v>35</v>
      </c>
      <c r="E16" s="76"/>
      <c r="F16" s="34"/>
      <c r="G16" s="41"/>
      <c r="H16" s="41"/>
      <c r="I16" s="58"/>
      <c r="J16" s="59" t="s">
        <v>22</v>
      </c>
      <c r="K16" s="43" t="s">
        <v>23</v>
      </c>
      <c r="L16" s="43"/>
      <c r="M16" s="44" t="str">
        <f aca="false">IF(AND(U16=1,N16="",AR16&gt;0,AR16&lt;&gt;""),"TODO !","")</f>
        <v/>
      </c>
      <c r="N16" s="60" t="n">
        <v>9</v>
      </c>
      <c r="O16" s="61" t="s">
        <v>28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31</v>
      </c>
      <c r="D17" s="56" t="s">
        <v>36</v>
      </c>
      <c r="E17" s="76"/>
      <c r="F17" s="34"/>
      <c r="G17" s="41"/>
      <c r="H17" s="41"/>
      <c r="I17" s="41"/>
      <c r="J17" s="59" t="s">
        <v>22</v>
      </c>
      <c r="K17" s="43" t="s">
        <v>23</v>
      </c>
      <c r="L17" s="43"/>
      <c r="M17" s="44" t="str">
        <f aca="false">IF(AND(U17=1,N17="",AR17&gt;0,AR17&lt;&gt;""),"TODO !","")</f>
        <v/>
      </c>
      <c r="N17" s="60" t="n">
        <v>10</v>
      </c>
      <c r="O17" s="61" t="s">
        <v>28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29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33</v>
      </c>
      <c r="F20" s="34"/>
      <c r="G20" s="41"/>
      <c r="H20" s="41"/>
      <c r="I20" s="42"/>
      <c r="J20" s="41" t="s">
        <v>22</v>
      </c>
      <c r="K20" s="43" t="s">
        <v>23</v>
      </c>
      <c r="L20" s="43"/>
      <c r="M20" s="44" t="str">
        <f aca="false">IF(AND(U20=1,N20="",AR20&gt;0,AR20&lt;&gt;""),"TODO !","")</f>
        <v/>
      </c>
      <c r="N20" s="45" t="n">
        <v>241</v>
      </c>
      <c r="O20" s="46" t="s">
        <v>24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66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 t="s">
        <v>22</v>
      </c>
      <c r="K21" s="43" t="s">
        <v>23</v>
      </c>
      <c r="L21" s="43"/>
      <c r="M21" s="44" t="str">
        <f aca="false">IF(AND(U21=1,N21="",AR21&gt;0,AR21&lt;&gt;""),"TODO !","")</f>
        <v/>
      </c>
      <c r="N21" s="45" t="n">
        <v>279</v>
      </c>
      <c r="O21" s="46" t="s">
        <v>24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2.8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 t="s">
        <v>22</v>
      </c>
      <c r="K22" s="43" t="s">
        <v>23</v>
      </c>
      <c r="L22" s="43"/>
      <c r="M22" s="44" t="str">
        <f aca="false">IF(AND(U22=1,N22="",AR22&gt;0,AR22&lt;&gt;""),"TODO !","")</f>
        <v/>
      </c>
      <c r="N22" s="45" t="n">
        <v>97</v>
      </c>
      <c r="O22" s="46" t="s">
        <v>24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 t="s">
        <v>22</v>
      </c>
      <c r="K23" s="43" t="s">
        <v>23</v>
      </c>
      <c r="L23" s="43"/>
      <c r="M23" s="44" t="str">
        <f aca="false">IF(AND(U23=1,N23="",AR23&gt;0,AR23&lt;&gt;""),"TODO !","")</f>
        <v/>
      </c>
      <c r="N23" s="86" t="n">
        <v>280</v>
      </c>
      <c r="O23" s="46" t="s">
        <v>24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45</v>
      </c>
      <c r="N24" s="45" t="n">
        <f aca="false">MAX(N20:N23)</f>
        <v>280</v>
      </c>
      <c r="O24" s="46" t="s">
        <v>24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27</v>
      </c>
      <c r="F26" s="34"/>
      <c r="G26" s="41"/>
      <c r="H26" s="41"/>
      <c r="I26" s="41"/>
      <c r="J26" s="59" t="s">
        <v>22</v>
      </c>
      <c r="K26" s="43" t="s">
        <v>23</v>
      </c>
      <c r="L26" s="43"/>
      <c r="M26" s="44" t="str">
        <f aca="false">IF(AND(U26=1,N26="",AR26&gt;0,AR26&lt;&gt;""),"TODO !","")</f>
        <v/>
      </c>
      <c r="N26" s="60" t="n">
        <v>2</v>
      </c>
      <c r="O26" s="61" t="s">
        <v>28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2.8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 t="s">
        <v>22</v>
      </c>
      <c r="K27" s="43" t="s">
        <v>23</v>
      </c>
      <c r="L27" s="43"/>
      <c r="M27" s="44" t="str">
        <f aca="false">IF(AND(U27=1,N27="",AR27&gt;0,AR27&lt;&gt;""),"TODO !","")</f>
        <v/>
      </c>
      <c r="N27" s="60" t="n">
        <v>3</v>
      </c>
      <c r="O27" s="61" t="s">
        <v>28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3</v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n">
        <f aca="false">IF(J27="x",AN$4,"")</f>
        <v>3</v>
      </c>
      <c r="AO27" s="2"/>
      <c r="AP27" s="48" t="n">
        <f aca="false">COUNTIF(G27:J27,"=x")</f>
        <v>1</v>
      </c>
      <c r="AQ27" s="48" t="n">
        <f aca="false">IF(AP27&gt;0,AVERAGE(AK27:AN27),"")</f>
        <v>3</v>
      </c>
      <c r="AR27" s="48" t="n">
        <f aca="false">IF(AND(AP27&gt;0,U27=1),AQ27*R27,"")</f>
        <v>3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 t="s">
        <v>22</v>
      </c>
      <c r="K28" s="43" t="s">
        <v>23</v>
      </c>
      <c r="L28" s="43"/>
      <c r="M28" s="44" t="str">
        <f aca="false">IF(AND(U28=1,N28="",AR28&gt;0,AR28&lt;&gt;""),"TODO !","")</f>
        <v/>
      </c>
      <c r="N28" s="60" t="n">
        <v>1.9</v>
      </c>
      <c r="O28" s="61" t="s">
        <v>28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 t="s">
        <v>22</v>
      </c>
      <c r="K29" s="43" t="s">
        <v>23</v>
      </c>
      <c r="L29" s="43"/>
      <c r="M29" s="44" t="str">
        <f aca="false">IF(AND(U29=1,N29="",AR29&gt;0,AR29&lt;&gt;""),"TODO !","")</f>
        <v/>
      </c>
      <c r="N29" s="60" t="n">
        <v>9</v>
      </c>
      <c r="O29" s="61" t="s">
        <v>28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 t="s">
        <v>22</v>
      </c>
      <c r="K32" s="43" t="s">
        <v>23</v>
      </c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 t="s">
        <v>22</v>
      </c>
      <c r="K33" s="43" t="s">
        <v>23</v>
      </c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 t="s">
        <v>22</v>
      </c>
      <c r="K35" s="43" t="s">
        <v>23</v>
      </c>
      <c r="L35" s="43"/>
      <c r="M35" s="44" t="str">
        <f aca="false">IF(AND(U35=1,N35="",AR35&gt;0,AR35&lt;&gt;""),"TODO !","")</f>
        <v/>
      </c>
      <c r="N35" s="60" t="n">
        <v>14</v>
      </c>
      <c r="O35" s="61" t="s">
        <v>28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 t="s">
        <v>22</v>
      </c>
      <c r="K36" s="43" t="s">
        <v>23</v>
      </c>
      <c r="L36" s="43"/>
      <c r="M36" s="44" t="str">
        <f aca="false">IF(AND(U36=1,N36="",AR36&gt;0,AR36&lt;&gt;""),"TODO !","")</f>
        <v/>
      </c>
      <c r="N36" s="60" t="n">
        <v>12</v>
      </c>
      <c r="O36" s="61" t="s">
        <v>28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2.8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 t="s">
        <v>22</v>
      </c>
      <c r="K38" s="43" t="s">
        <v>23</v>
      </c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 t="s">
        <v>22</v>
      </c>
      <c r="K39" s="43" t="s">
        <v>23</v>
      </c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 t="s">
        <v>22</v>
      </c>
      <c r="K40" s="43" t="s">
        <v>23</v>
      </c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 t="s">
        <v>22</v>
      </c>
      <c r="K42" s="43" t="s">
        <v>23</v>
      </c>
      <c r="L42" s="43"/>
      <c r="M42" s="44" t="str">
        <f aca="false">IF(AND(U42=1,N42="",AR42&gt;0,AR42&lt;&gt;""),"TODO !","")</f>
        <v/>
      </c>
      <c r="N42" s="60" t="n">
        <v>14</v>
      </c>
      <c r="O42" s="61" t="s">
        <v>28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 t="s">
        <v>22</v>
      </c>
      <c r="K43" s="43" t="s">
        <v>23</v>
      </c>
      <c r="L43" s="43"/>
      <c r="M43" s="44" t="str">
        <f aca="false">IF(AND(U43=1,N43="",AR43&gt;0,AR43&lt;&gt;""),"TODO !","")</f>
        <v/>
      </c>
      <c r="N43" s="60" t="n">
        <v>12</v>
      </c>
      <c r="O43" s="61" t="s">
        <v>28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 t="s">
        <v>22</v>
      </c>
      <c r="K44" s="43" t="s">
        <v>23</v>
      </c>
      <c r="L44" s="43"/>
      <c r="M44" s="44" t="str">
        <f aca="false">IF(AND(U44=1,N44="",AR44&gt;0,AR44&lt;&gt;""),"TODO !","")</f>
        <v/>
      </c>
      <c r="N44" s="60" t="n">
        <v>98</v>
      </c>
      <c r="O44" s="61" t="s">
        <v>28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29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 t="s">
        <v>22</v>
      </c>
      <c r="K47" s="43" t="s">
        <v>23</v>
      </c>
      <c r="L47" s="43"/>
      <c r="M47" s="44" t="str">
        <f aca="false">IF(AND(U47=1,N47="",AR47&gt;0,AR47&lt;&gt;""),"TODO !","")</f>
        <v/>
      </c>
      <c r="N47" s="45" t="n">
        <v>4570</v>
      </c>
      <c r="O47" s="46" t="s">
        <v>24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 t="s">
        <v>22</v>
      </c>
      <c r="K48" s="43" t="s">
        <v>23</v>
      </c>
      <c r="L48" s="43"/>
      <c r="M48" s="44" t="str">
        <f aca="false">IF(AND(U48=1,N48="",AR48&gt;0,AR48&lt;&gt;""),"TODO !","")</f>
        <v/>
      </c>
      <c r="N48" s="45" t="n">
        <v>17357</v>
      </c>
      <c r="O48" s="46" t="s">
        <v>24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 t="s">
        <v>22</v>
      </c>
      <c r="K49" s="43" t="s">
        <v>23</v>
      </c>
      <c r="L49" s="43"/>
      <c r="M49" s="44" t="str">
        <f aca="false">IF(AND(U49=1,N49="",AR49&gt;0,AR49&lt;&gt;""),"TODO !","")</f>
        <v/>
      </c>
      <c r="N49" s="45" t="n">
        <v>29277</v>
      </c>
      <c r="O49" s="46" t="s">
        <v>24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29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 t="s">
        <v>22</v>
      </c>
      <c r="K51" s="43" t="s">
        <v>23</v>
      </c>
      <c r="L51" s="43"/>
      <c r="M51" s="44" t="str">
        <f aca="false">IF(AND(U51=1,N51="",AR51&gt;0,AR51&lt;&gt;""),"TODO !","")</f>
        <v/>
      </c>
      <c r="N51" s="60" t="n">
        <v>16</v>
      </c>
      <c r="O51" s="61" t="s">
        <v>28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 t="s">
        <v>22</v>
      </c>
      <c r="K52" s="43" t="s">
        <v>23</v>
      </c>
      <c r="L52" s="43"/>
      <c r="M52" s="44" t="str">
        <f aca="false">IF(AND(U52=1,N52="",AR52&gt;0,AR52&lt;&gt;""),"TODO !","")</f>
        <v/>
      </c>
      <c r="N52" s="60" t="n">
        <v>13</v>
      </c>
      <c r="O52" s="61" t="s">
        <v>28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 t="s">
        <v>22</v>
      </c>
      <c r="K53" s="43" t="s">
        <v>23</v>
      </c>
      <c r="L53" s="43"/>
      <c r="M53" s="44" t="str">
        <f aca="false">IF(AND(U53=1,N53="",AR53&gt;0,AR53&lt;&gt;""),"TODO !","")</f>
        <v/>
      </c>
      <c r="N53" s="60" t="n">
        <v>9</v>
      </c>
      <c r="O53" s="61" t="s">
        <v>28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29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64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64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64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29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64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64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64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28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28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28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28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28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28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24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24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24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24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28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28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28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28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29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 t="s">
        <v>22</v>
      </c>
      <c r="K84" s="43" t="s">
        <v>23</v>
      </c>
      <c r="L84" s="43"/>
      <c r="M84" s="44" t="str">
        <f aca="false">IF(AND(U84=1,N84="",AR84&gt;0,AR84&lt;&gt;""),"TODO !","")</f>
        <v/>
      </c>
      <c r="N84" s="45" t="n">
        <v>103</v>
      </c>
      <c r="O84" s="46" t="s">
        <v>24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77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78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 t="s">
        <v>22</v>
      </c>
      <c r="K85" s="43" t="s">
        <v>23</v>
      </c>
      <c r="L85" s="43"/>
      <c r="M85" s="44" t="str">
        <f aca="false">IF(AND(U85=1,N85="",AR85&gt;0,AR85&lt;&gt;""),"TODO !","")</f>
        <v/>
      </c>
      <c r="N85" s="45" t="n">
        <v>114</v>
      </c>
      <c r="O85" s="46" t="s">
        <v>24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 t="s">
        <v>22</v>
      </c>
      <c r="K86" s="43" t="s">
        <v>23</v>
      </c>
      <c r="L86" s="43"/>
      <c r="M86" s="44" t="str">
        <f aca="false">IF(AND(U86=1,N86="",AR86&gt;0,AR86&lt;&gt;""),"TODO !","")</f>
        <v/>
      </c>
      <c r="N86" s="45" t="n">
        <v>217</v>
      </c>
      <c r="O86" s="46" t="s">
        <v>24</v>
      </c>
      <c r="P86" s="110" t="n">
        <f aca="false">IF(N86&lt;&gt;"",N86/$N$84,"")</f>
        <v>2.10679611650485</v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n">
        <f aca="false">IF(U86=1,AR86,"")</f>
        <v>27</v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n">
        <f aca="false">IF(J86="x",AN$4,"")</f>
        <v>3</v>
      </c>
      <c r="AO86" s="2"/>
      <c r="AP86" s="48" t="n">
        <f aca="false">COUNTIF(G86:J86,"=x")</f>
        <v>1</v>
      </c>
      <c r="AQ86" s="48" t="n">
        <f aca="false">IF(AP86&gt;0,AVERAGE(AK86:AN86),"")</f>
        <v>3</v>
      </c>
      <c r="AR86" s="48" t="n">
        <f aca="false">IF(AND(AP86&gt;0,U86=1),AQ86*R86,"")</f>
        <v>27</v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 t="s">
        <v>22</v>
      </c>
      <c r="K88" s="43" t="s">
        <v>23</v>
      </c>
      <c r="L88" s="43"/>
      <c r="M88" s="44" t="str">
        <f aca="false">IF(AND(U88=1,N88="",AR88&gt;0,AR88&lt;&gt;""),"TODO !","")</f>
        <v/>
      </c>
      <c r="N88" s="111" t="n">
        <v>23</v>
      </c>
      <c r="O88" s="61" t="s">
        <v>28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 t="s">
        <v>22</v>
      </c>
      <c r="K89" s="43" t="s">
        <v>23</v>
      </c>
      <c r="L89" s="43"/>
      <c r="M89" s="44" t="str">
        <f aca="false">IF(AND(U89=1,N89="",AR89&gt;0,AR89&lt;&gt;""),"TODO !","")</f>
        <v/>
      </c>
      <c r="N89" s="111" t="n">
        <v>23</v>
      </c>
      <c r="O89" s="61" t="s">
        <v>28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 t="s">
        <v>22</v>
      </c>
      <c r="K90" s="43" t="s">
        <v>23</v>
      </c>
      <c r="L90" s="43"/>
      <c r="M90" s="44" t="str">
        <f aca="false">IF(AND(U90=1,N90="",AR90&gt;0,AR90&lt;&gt;""),"TODO !","")</f>
        <v/>
      </c>
      <c r="N90" s="111" t="n">
        <v>31</v>
      </c>
      <c r="O90" s="61" t="s">
        <v>28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n">
        <f aca="false">IF(U90=1,AR90,"")</f>
        <v>15</v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n">
        <f aca="false">IF(J90="x",AN$4,"")</f>
        <v>3</v>
      </c>
      <c r="AO90" s="2"/>
      <c r="AP90" s="48" t="n">
        <f aca="false">COUNTIF(G90:J90,"=x")</f>
        <v>1</v>
      </c>
      <c r="AQ90" s="48" t="n">
        <f aca="false">IF(AP90&gt;0,AVERAGE(AK90:AN90),"")</f>
        <v>3</v>
      </c>
      <c r="AR90" s="48" t="n">
        <f aca="false">IF(AND(AP90&gt;0,U90=1),AQ90*R90,"")</f>
        <v>15</v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81</v>
      </c>
      <c r="O92" s="61"/>
      <c r="P92" s="26" t="s">
        <v>82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24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86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87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24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84</v>
      </c>
      <c r="D95" s="34" t="s">
        <v>31</v>
      </c>
      <c r="E95" s="93" t="s">
        <v>85</v>
      </c>
      <c r="F95" s="3" t="s">
        <v>35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24</v>
      </c>
      <c r="P95" s="125" t="n">
        <f aca="false">IF(AND(N95&lt;&gt;"",$N$11&lt;&gt;""),$N$11/N95,"")</f>
        <v>1790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87</v>
      </c>
      <c r="F96" s="3" t="s">
        <v>35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24</v>
      </c>
      <c r="P96" s="128" t="n">
        <f aca="false">IF(AND(N96&lt;&gt;"",$N$11&lt;&gt;""),$N$11/N96,"")</f>
        <v>284.691848906561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24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87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24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84</v>
      </c>
      <c r="D99" s="34" t="s">
        <v>62</v>
      </c>
      <c r="E99" s="93" t="s">
        <v>85</v>
      </c>
      <c r="F99" s="3" t="s">
        <v>55</v>
      </c>
      <c r="G99" s="41"/>
      <c r="H99" s="41"/>
      <c r="I99" s="42"/>
      <c r="J99" s="41" t="s">
        <v>22</v>
      </c>
      <c r="K99" s="43" t="s">
        <v>89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64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42"/>
      <c r="J100" s="41" t="s">
        <v>22</v>
      </c>
      <c r="K100" s="43" t="s">
        <v>90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64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 t="s">
        <v>22</v>
      </c>
      <c r="K103" s="35" t="s">
        <v>23</v>
      </c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24</v>
      </c>
      <c r="P103" s="138" t="s">
        <v>94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30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 t="s">
        <v>97</v>
      </c>
      <c r="L104" s="35"/>
      <c r="M104" s="44"/>
      <c r="N104" s="45"/>
      <c r="O104" s="46" t="s">
        <v>24</v>
      </c>
      <c r="P104" s="138" t="s">
        <v>94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141</v>
      </c>
      <c r="O105" s="61" t="s">
        <v>28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 t="s">
        <v>97</v>
      </c>
      <c r="L106" s="35"/>
      <c r="M106" s="44" t="str">
        <f aca="false">IF(AND(U106=1,N106="",AR106&gt;0,AR106&lt;&gt;""),"TODO !","")</f>
        <v/>
      </c>
      <c r="N106" s="140"/>
      <c r="O106" s="61" t="s">
        <v>28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 t="s">
        <v>22</v>
      </c>
      <c r="K107" s="35"/>
      <c r="L107" s="35"/>
      <c r="M107" s="44" t="str">
        <f aca="false">IF(AND(U107=1,N107="",AR107&gt;0,AR107&lt;&gt;""),"TODO !","")</f>
        <v/>
      </c>
      <c r="N107" s="140" t="n">
        <v>69</v>
      </c>
      <c r="O107" s="61" t="s">
        <v>28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6</v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1</v>
      </c>
      <c r="AQ107" s="48" t="n">
        <f aca="false">IF(AP107&gt;0,AVERAGE(AK107:AN107),"")</f>
        <v>3</v>
      </c>
      <c r="AR107" s="48" t="n">
        <f aca="false">IF(AND(AP107&gt;0,U107=1),AQ107*R107,"")</f>
        <v>6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 t="s">
        <v>22</v>
      </c>
      <c r="K108" s="35" t="s">
        <v>23</v>
      </c>
      <c r="L108" s="35"/>
      <c r="M108" s="44" t="str">
        <f aca="false">IF(AND(U108=1,N108="",AR108&gt;0,AR108&lt;&gt;""),"TODO !","")</f>
        <v/>
      </c>
      <c r="N108" s="140" t="n">
        <v>233</v>
      </c>
      <c r="O108" s="61" t="s">
        <v>28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n">
        <f aca="false">IF(U108=1,AR108,"")</f>
        <v>6</v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n">
        <f aca="false">IF(J108="x",AN$4,"")</f>
        <v>3</v>
      </c>
      <c r="AO108" s="2"/>
      <c r="AP108" s="48" t="n">
        <f aca="false">COUNTIF(G108:J108,"=x")</f>
        <v>1</v>
      </c>
      <c r="AQ108" s="48" t="n">
        <f aca="false">IF(AP108&gt;0,AVERAGE(AK108:AN108),"")</f>
        <v>3</v>
      </c>
      <c r="AR108" s="48" t="n">
        <f aca="false">IF(AND(AP108&gt;0,U108=1),AQ108*R108,"")</f>
        <v>6</v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28</v>
      </c>
      <c r="P111" s="43" t="s">
        <v>105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30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9" t="s">
        <v>113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114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5.9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483</v>
      </c>
      <c r="Z127" s="166" t="s">
        <v>124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483</v>
      </c>
      <c r="AT127" s="166" t="n">
        <f aca="false">SUM(AT6:AT124)</f>
        <v>490</v>
      </c>
      <c r="AV127" s="168" t="n">
        <f aca="false">SUM(AV6:AV124)</f>
        <v>483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T132" s="177" t="n">
        <f aca="false">(AT136*AR127)+AT135</f>
        <v>5.92857142857145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40" t="s">
        <v>136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5.9</v>
      </c>
      <c r="T136" s="162"/>
      <c r="U136" s="162"/>
      <c r="V136" s="162"/>
      <c r="Y136" s="182" t="n">
        <f aca="false">MAX(1,MIN(S136,6))</f>
        <v>5.9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189" t="s">
        <v>139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192" t="s">
        <v>142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40" t="s">
        <v>136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5.9</v>
      </c>
      <c r="T142" s="162"/>
      <c r="U142" s="162"/>
      <c r="V142" s="162"/>
      <c r="Y142" s="182" t="n">
        <f aca="false">MAX(1,MIN(S142,6))</f>
        <v>5.9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189" t="s">
        <v>145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192" t="s">
        <v>146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40" t="s">
        <v>148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5.9</v>
      </c>
      <c r="T148" s="162"/>
      <c r="U148" s="162"/>
      <c r="V148" s="162"/>
      <c r="Y148" s="182" t="n">
        <f aca="false">MAX(1,MIN(S148,6))</f>
        <v>5.9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189" t="s">
        <v>148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189" t="s">
        <v>148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195" t="s">
        <v>148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159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25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26</v>
      </c>
      <c r="D7" s="56"/>
      <c r="E7" s="57" t="s">
        <v>27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30</v>
      </c>
      <c r="C10" s="39" t="s">
        <v>31</v>
      </c>
      <c r="D10" s="39" t="s">
        <v>32</v>
      </c>
      <c r="E10" s="71" t="s">
        <v>33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34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31</v>
      </c>
      <c r="D11" s="34" t="s">
        <v>35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31</v>
      </c>
      <c r="D12" s="34" t="s">
        <v>36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37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31</v>
      </c>
      <c r="D15" s="34" t="s">
        <v>32</v>
      </c>
      <c r="E15" s="76" t="s">
        <v>38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31</v>
      </c>
      <c r="D16" s="34" t="s">
        <v>35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31</v>
      </c>
      <c r="D17" s="56" t="s">
        <v>36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39</v>
      </c>
      <c r="C20" s="38" t="s">
        <v>40</v>
      </c>
      <c r="D20" s="39"/>
      <c r="E20" s="71" t="s">
        <v>33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41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42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43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44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40</v>
      </c>
      <c r="D26" s="34"/>
      <c r="E26" s="76" t="s">
        <v>27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42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43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44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46</v>
      </c>
      <c r="C32" s="38" t="s">
        <v>47</v>
      </c>
      <c r="D32" s="39" t="s">
        <v>48</v>
      </c>
      <c r="E32" s="92" t="s">
        <v>49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50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48</v>
      </c>
      <c r="E33" s="93" t="s">
        <v>51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47</v>
      </c>
      <c r="D35" s="34" t="s">
        <v>48</v>
      </c>
      <c r="E35" s="94" t="s">
        <v>52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48</v>
      </c>
      <c r="E36" s="94" t="s">
        <v>53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54</v>
      </c>
      <c r="D38" s="34" t="s">
        <v>48</v>
      </c>
      <c r="E38" s="93" t="s">
        <v>49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48</v>
      </c>
      <c r="E39" s="93" t="s">
        <v>51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55</v>
      </c>
      <c r="E40" s="93" t="s">
        <v>51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54</v>
      </c>
      <c r="D42" s="34" t="s">
        <v>48</v>
      </c>
      <c r="E42" s="94" t="s">
        <v>52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48</v>
      </c>
      <c r="E43" s="94" t="s">
        <v>53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55</v>
      </c>
      <c r="E44" s="97" t="s">
        <v>53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56</v>
      </c>
      <c r="C47" s="38" t="s">
        <v>57</v>
      </c>
      <c r="D47" s="39"/>
      <c r="E47" s="92" t="s">
        <v>58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59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60</v>
      </c>
      <c r="D48" s="34"/>
      <c r="E48" s="93" t="s">
        <v>58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61</v>
      </c>
      <c r="D49" s="34"/>
      <c r="E49" s="93" t="s">
        <v>58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57</v>
      </c>
      <c r="D51" s="34"/>
      <c r="E51" s="76" t="s">
        <v>38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60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61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62</v>
      </c>
      <c r="C56" s="38" t="s">
        <v>63</v>
      </c>
      <c r="D56" s="39"/>
      <c r="E56" s="92" t="s">
        <v>58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65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63</v>
      </c>
      <c r="D57" s="21" t="s">
        <v>66</v>
      </c>
      <c r="E57" s="93" t="s">
        <v>58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63</v>
      </c>
      <c r="D58" s="21" t="s">
        <v>67</v>
      </c>
      <c r="E58" s="93" t="s">
        <v>58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68</v>
      </c>
      <c r="D60" s="34"/>
      <c r="E60" s="93" t="s">
        <v>58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68</v>
      </c>
      <c r="D61" s="21" t="s">
        <v>66</v>
      </c>
      <c r="E61" s="93" t="s">
        <v>58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68</v>
      </c>
      <c r="D62" s="21" t="s">
        <v>67</v>
      </c>
      <c r="E62" s="93" t="s">
        <v>58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63</v>
      </c>
      <c r="D64" s="34"/>
      <c r="E64" s="76" t="s">
        <v>38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63</v>
      </c>
      <c r="D65" s="21" t="s">
        <v>66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63</v>
      </c>
      <c r="D66" s="21" t="s">
        <v>67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68</v>
      </c>
      <c r="D68" s="34"/>
      <c r="E68" s="76" t="s">
        <v>38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68</v>
      </c>
      <c r="D69" s="21" t="s">
        <v>66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68</v>
      </c>
      <c r="D70" s="113" t="s">
        <v>67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69</v>
      </c>
      <c r="C73" s="38" t="s">
        <v>70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71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72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73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74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70</v>
      </c>
      <c r="D78" s="34"/>
      <c r="E78" s="118" t="s">
        <v>38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72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73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74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75</v>
      </c>
      <c r="C84" s="38" t="s">
        <v>76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77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78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79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e">
        <f aca="false">IF(Y86&lt;&gt;ByStudent!Y86,Y86-ByStudent!Y86,0)</f>
        <v>#VALUE!</v>
      </c>
      <c r="AD86" s="50"/>
      <c r="AE86" s="74"/>
      <c r="AF86" s="0" t="e">
        <f aca="false">IF(AND(AC86&lt;0,AE86=""),"TODO !","")</f>
        <v>#VALUE!</v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76</v>
      </c>
      <c r="D88" s="34"/>
      <c r="E88" s="76" t="s">
        <v>38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78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79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e">
        <f aca="false">IF(Y90&lt;&gt;ByStudent!Y90,Y90-ByStudent!Y90,0)</f>
        <v>#VALUE!</v>
      </c>
      <c r="AD90" s="50"/>
      <c r="AE90" s="74"/>
      <c r="AF90" s="0" t="e">
        <f aca="false">IF(AND(AC90&lt;0,AE90=""),"TODO !","")</f>
        <v>#VALUE!</v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80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83</v>
      </c>
      <c r="C93" s="38" t="s">
        <v>84</v>
      </c>
      <c r="D93" s="39" t="s">
        <v>20</v>
      </c>
      <c r="E93" s="92" t="s">
        <v>85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86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87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84</v>
      </c>
      <c r="D95" s="34" t="s">
        <v>31</v>
      </c>
      <c r="E95" s="93" t="s">
        <v>85</v>
      </c>
      <c r="F95" s="3" t="s">
        <v>35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87</v>
      </c>
      <c r="F96" s="3" t="s">
        <v>35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84</v>
      </c>
      <c r="D97" s="34" t="s">
        <v>88</v>
      </c>
      <c r="E97" s="93" t="s">
        <v>85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87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84</v>
      </c>
      <c r="D99" s="34" t="s">
        <v>161</v>
      </c>
      <c r="E99" s="93" t="s">
        <v>85</v>
      </c>
      <c r="F99" s="3" t="s">
        <v>55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87</v>
      </c>
      <c r="F100" s="3" t="s">
        <v>55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e">
        <f aca="false">IF(Y108&lt;&gt;ByStudent!Y108,Y108-ByStudent!Y108,0)</f>
        <v>#VALUE!</v>
      </c>
      <c r="AE108" s="208"/>
      <c r="AF108" s="0" t="e">
        <f aca="false">IF(AND(AC108&lt;0,AE108=""),"TODO !","")</f>
        <v>#VALUE!</v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114</v>
      </c>
      <c r="AH117" s="2"/>
      <c r="AI117" s="48" t="n">
        <f aca="false">U117*V117*R117</f>
        <v>0.5</v>
      </c>
      <c r="AJ117" s="2"/>
      <c r="AK117" s="152" t="s">
        <v>162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163</v>
      </c>
      <c r="AC126" s="212" t="s">
        <v>163</v>
      </c>
    </row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-4.9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124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I132" s="212" t="s">
        <v>163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-4.9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-4.9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-4.9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96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2023-05-05T17:22:50Z</dcterms:modified>
  <cp:revision>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