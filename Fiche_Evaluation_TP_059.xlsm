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<sst xmlns="http://schemas.openxmlformats.org/spreadsheetml/2006/main" count="644" uniqueCount="165">
  <si>
    <t xml:space="preserve">Performance
Your best score
Benchmarking
Without rendering</t>
  </si>
  <si>
    <r>
      <rPr>
        <b val="true"/>
        <sz val="18"/>
        <color rgb="FF000000"/>
        <rFont val="Arial"/>
        <family val="0"/>
        <charset val="1"/>
      </rPr>
      <t xml:space="preserve">AutoEvaluation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</si>
  <si>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</si>
  <si>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</si>
  <si>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</si>
  <si>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</si>
  <si>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</si>
  <si>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</si>
  <si>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</si>
  <si>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</si>
  <si>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</si>
  <si>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</si>
  <si>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</si>
  <si>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</si>
  <si>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</si>
  <si>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</si>
  <si>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</si>
  <si>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</si>
  <si>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</si>
  <si>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</si>
  <si>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</si>
  <si>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</si>
  <si>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</si>
  <si>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</si>
  <si>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</si>
  <si>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</si>
  <si>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</si>
  <si>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</si>
  <si>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</si>
  <si>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</si>
  <si>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</si>
  <si>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</si>
  <si>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</si>
  <si>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</si>
  <si>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</si>
  <si>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</si>
  <si>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</si>
  <si>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</si>
  <si>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</si>
  <si>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</si>
  <si>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</si>
  <si>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</si>
  <si>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</si>
  <si>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</si>
  <si>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</si>
  <si>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Ne passe pas les tests de performances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</si>
  <si>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</si>
  <si>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</si>
  <si>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</si>
  <si>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</si>
  <si>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</si>
  <si>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</si>
  <si>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</t>
    </r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</si>
  <si>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</si>
  <si>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</si>
  <si>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</si>
  <si>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</si>
  <si>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</si>
  <si>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</si>
  <si>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</si>
  <si>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</si>
  <si>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</si>
  <si>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</si>
  <si>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</si>
  <si>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</si>
  <si>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</si>
  <si>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</si>
  <si>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</si>
  <si>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</si>
  <si>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</si>
  <si>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</si>
  <si>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</si>
  <si>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</si>
  <si>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</si>
  <si>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</si>
  <si>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</si>
  <si>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</si>
  <si>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</si>
  <si>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</si>
  <si>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</si>
  <si>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</si>
  <si>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</si>
  <si>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</si>
  <si>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</si>
  <si>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</si>
  <si>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</si>
  <si>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</si>
  <si>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</si>
  <si>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</si>
  <si>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Motecarlo</t>
  </si>
  <si>
    <t xml:space="preserve">v1</t>
  </si>
  <si>
    <t xml:space="preserve">v5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</si>
  <si>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</si>
  <si>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</si>
  <si>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</si>
  <si>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</si>
  <si>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</si>
  <si>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</si>
  <si>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pas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</si>
  <si>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</si>
  <si>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</si>
  <si>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</si>
  <si>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</si>
  <si>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CM donne une erreur dans les performances</t>
  </si>
  <si>
    <t xml:space="preserve">All Test non image</t>
  </si>
  <si>
    <t xml:space="preserve">Managment</t>
  </si>
  <si>
    <t xml:space="preserve">Compilation Workspace</t>
  </si>
  <si>
    <t xml:space="preserve">comment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</si>
  <si>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</si>
  <si>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</si>
  <si>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</si>
  <si>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</si>
  <si>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</si>
  <si>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</si>
  <si>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</si>
  <si>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</si>
  <si>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</si>
  <si>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</si>
  <si>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</si>
  <si>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</si>
  <si>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</si>
  <si>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</si>
  <si>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</si>
  <si>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</si>
  <si>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</si>
  <si>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</si>
  <si>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</si>
  <si>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</si>
  <si>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</si>
  <si>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</si>
  <si>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</si>
  <si>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</si>
  <si>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</si>
  <si>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</si>
  <si>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</si>
  <si>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</si>
  <si>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</si>
  <si>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</si>
  <si>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</si>
  <si>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</si>
  <si>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</si>
  <si>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</si>
  <si>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</si>
  <si>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</si>
  <si>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</si>
  <si>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</si>
  <si>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</si>
  <si>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</si>
  <si>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</si>
  <si>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</si>
  <si>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</si>
  <si>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</si>
  <si>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</si>
  <si>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</si>
  <si>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</si>
  <si>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</si>
  <si>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</si>
  <si>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</si>
  <si>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</si>
  <si>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</si>
  <si>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</si>
  <si>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0"/>
        <charset val="1"/>
      </rPr>
      <t xml:space="preserve">Evaluation
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ByProf</t>
    </r>
  </si>
  <si>
    <t xml:space="preserve">Justificatifs
Obligatoires
(motivant une auto-évalutaion  2.5 ou 3)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</si>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</sst>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0"/>
      <charset val="1"/>
    </font>
    <font>
      <b val="true"/>
      <sz val="72"/>
      <color rgb="FFFF00FF"/>
      <name val="Arial"/>
      <family val="0"/>
      <charset val="1"/>
    </font>
    <font>
      <b val="true"/>
      <sz val="72"/>
      <color rgb="FFFF0000"/>
      <name val="Arial"/>
      <family val="0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sz val="8"/>
      <color rgb="FFFF0000"/>
      <name val="Arial"/>
      <family val="0"/>
      <charset val="1"/>
    </font>
    <font>
      <sz val="8"/>
      <name val="Arial"/>
      <family val="0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AC090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8"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99CC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20520</xdr:colOff>
      <xdr:row>2</xdr:row>
      <xdr:rowOff>48240</xdr:rowOff>
    </xdr:from>
    <xdr:to>
      <xdr:col>27</xdr:col>
      <xdr:colOff>178920</xdr:colOff>
      <xdr:row>60</xdr:row>
      <xdr:rowOff>92520</xdr:rowOff>
    </xdr:to>
    <xdr:sp>
      <xdr:nvSpPr>
        <xdr:cNvPr id="0" name="CustomShape 1"/>
        <xdr:cNvSpPr/>
      </xdr:nvSpPr>
      <xdr:spPr>
        <a:xfrm>
          <a:off x="678240" y="383400"/>
          <a:ext cx="8381520" cy="97675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720</xdr:colOff>
      <xdr:row>61</xdr:row>
      <xdr:rowOff>133920</xdr:rowOff>
    </xdr:from>
    <xdr:to>
      <xdr:col>19</xdr:col>
      <xdr:colOff>44280</xdr:colOff>
      <xdr:row>73</xdr:row>
      <xdr:rowOff>130680</xdr:rowOff>
    </xdr:to>
    <xdr:sp>
      <xdr:nvSpPr>
        <xdr:cNvPr id="1" name="CustomShape 1"/>
        <xdr:cNvSpPr/>
      </xdr:nvSpPr>
      <xdr:spPr>
        <a:xfrm>
          <a:off x="329400" y="10359720"/>
          <a:ext cx="5964480" cy="20084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54720</xdr:colOff>
      <xdr:row>79</xdr:row>
      <xdr:rowOff>150120</xdr:rowOff>
    </xdr:to>
    <xdr:sp>
      <xdr:nvSpPr>
        <xdr:cNvPr id="2" name="CustomShape 1"/>
        <xdr:cNvSpPr/>
      </xdr:nvSpPr>
      <xdr:spPr>
        <a:xfrm>
          <a:off x="295200" y="12649320"/>
          <a:ext cx="5351040" cy="7441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29160</xdr:colOff>
      <xdr:row>96</xdr:row>
      <xdr:rowOff>104760</xdr:rowOff>
    </xdr:from>
    <xdr:to>
      <xdr:col>9</xdr:col>
      <xdr:colOff>215640</xdr:colOff>
      <xdr:row>100</xdr:row>
      <xdr:rowOff>54720</xdr:rowOff>
    </xdr:to>
    <xdr:sp>
      <xdr:nvSpPr>
        <xdr:cNvPr id="3" name="CustomShape 1"/>
        <xdr:cNvSpPr/>
      </xdr:nvSpPr>
      <xdr:spPr>
        <a:xfrm>
          <a:off x="357840" y="16198200"/>
          <a:ext cx="2818080" cy="6202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10080</xdr:colOff>
      <xdr:row>81</xdr:row>
      <xdr:rowOff>85680</xdr:rowOff>
    </xdr:from>
    <xdr:to>
      <xdr:col>8</xdr:col>
      <xdr:colOff>326520</xdr:colOff>
      <xdr:row>85</xdr:row>
      <xdr:rowOff>130680</xdr:rowOff>
    </xdr:to>
    <xdr:sp>
      <xdr:nvSpPr>
        <xdr:cNvPr id="4" name="CustomShape 1"/>
        <xdr:cNvSpPr/>
      </xdr:nvSpPr>
      <xdr:spPr>
        <a:xfrm>
          <a:off x="338760" y="13664520"/>
          <a:ext cx="2619000" cy="7153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168120</xdr:colOff>
      <xdr:row>94</xdr:row>
      <xdr:rowOff>131040</xdr:rowOff>
    </xdr:to>
    <xdr:sp>
      <xdr:nvSpPr>
        <xdr:cNvPr id="5" name="CustomShape 1"/>
        <xdr:cNvSpPr/>
      </xdr:nvSpPr>
      <xdr:spPr>
        <a:xfrm>
          <a:off x="295200" y="14661000"/>
          <a:ext cx="9082800" cy="12279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506160</xdr:rowOff>
    </xdr:from>
    <xdr:to>
      <xdr:col>12</xdr:col>
      <xdr:colOff>454680</xdr:colOff>
      <xdr:row>2</xdr:row>
      <xdr:rowOff>1502640</xdr:rowOff>
    </xdr:to>
    <xdr:sp>
      <xdr:nvSpPr>
        <xdr:cNvPr id="6" name="CustomShape 1"/>
        <xdr:cNvSpPr/>
      </xdr:nvSpPr>
      <xdr:spPr>
        <a:xfrm>
          <a:off x="5389920" y="816480"/>
          <a:ext cx="1488240" cy="9964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168840</xdr:colOff>
      <xdr:row>2</xdr:row>
      <xdr:rowOff>1506240</xdr:rowOff>
    </xdr:from>
    <xdr:to>
      <xdr:col>11</xdr:col>
      <xdr:colOff>327960</xdr:colOff>
      <xdr:row>6</xdr:row>
      <xdr:rowOff>111960</xdr:rowOff>
    </xdr:to>
    <xdr:sp>
      <xdr:nvSpPr>
        <xdr:cNvPr id="7" name="CustomShape 1"/>
        <xdr:cNvSpPr/>
      </xdr:nvSpPr>
      <xdr:spPr>
        <a:xfrm flipH="1">
          <a:off x="5206680" y="1816560"/>
          <a:ext cx="917280" cy="81540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81720</xdr:colOff>
      <xdr:row>2</xdr:row>
      <xdr:rowOff>1506240</xdr:rowOff>
    </xdr:from>
    <xdr:to>
      <xdr:col>11</xdr:col>
      <xdr:colOff>327600</xdr:colOff>
      <xdr:row>15</xdr:row>
      <xdr:rowOff>35280</xdr:rowOff>
    </xdr:to>
    <xdr:sp>
      <xdr:nvSpPr>
        <xdr:cNvPr id="8" name="CustomShape 1"/>
        <xdr:cNvSpPr/>
      </xdr:nvSpPr>
      <xdr:spPr>
        <a:xfrm flipH="1">
          <a:off x="5376240" y="1816560"/>
          <a:ext cx="747360" cy="222300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610200</xdr:rowOff>
    </xdr:from>
    <xdr:to>
      <xdr:col>13</xdr:col>
      <xdr:colOff>435960</xdr:colOff>
      <xdr:row>2</xdr:row>
      <xdr:rowOff>1359360</xdr:rowOff>
    </xdr:to>
    <xdr:sp>
      <xdr:nvSpPr>
        <xdr:cNvPr id="9" name="CustomShape 1"/>
        <xdr:cNvSpPr/>
      </xdr:nvSpPr>
      <xdr:spPr>
        <a:xfrm>
          <a:off x="5389920" y="920520"/>
          <a:ext cx="1971000" cy="7491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167760</xdr:colOff>
      <xdr:row>2</xdr:row>
      <xdr:rowOff>1362960</xdr:rowOff>
    </xdr:from>
    <xdr:to>
      <xdr:col>12</xdr:col>
      <xdr:colOff>21960</xdr:colOff>
      <xdr:row>6</xdr:row>
      <xdr:rowOff>111960</xdr:rowOff>
    </xdr:to>
    <xdr:sp>
      <xdr:nvSpPr>
        <xdr:cNvPr id="10" name="CustomShape 1"/>
        <xdr:cNvSpPr/>
      </xdr:nvSpPr>
      <xdr:spPr>
        <a:xfrm flipH="1">
          <a:off x="5205600" y="1673280"/>
          <a:ext cx="1176840" cy="9586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81360</xdr:colOff>
      <xdr:row>2</xdr:row>
      <xdr:rowOff>1362960</xdr:rowOff>
    </xdr:from>
    <xdr:to>
      <xdr:col>12</xdr:col>
      <xdr:colOff>21600</xdr:colOff>
      <xdr:row>15</xdr:row>
      <xdr:rowOff>25560</xdr:rowOff>
    </xdr:to>
    <xdr:sp>
      <xdr:nvSpPr>
        <xdr:cNvPr id="11" name="CustomShape 1"/>
        <xdr:cNvSpPr/>
      </xdr:nvSpPr>
      <xdr:spPr>
        <a:xfrm flipH="1">
          <a:off x="5375880" y="1673280"/>
          <a:ext cx="1006200" cy="23716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A110" colorId="64" zoomScale="100" zoomScaleNormal="100" zoomScalePageLayoutView="100" workbookViewId="0">
      <selection pane="topLeft" activeCell="G121" activeCellId="0" sqref="G121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/>
      <c r="L6" s="43"/>
      <c r="M6" s="44" t="str">
        <f aca="false">IF(AND(U6=1,N6="",AR6&gt;0,AR6&lt;&gt;""),"TODO !","")</f>
        <v/>
      </c>
      <c r="N6" s="45" t="n">
        <v>173577</v>
      </c>
      <c r="O6" s="46" t="s">
        <v>23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 t="s">
        <v>22</v>
      </c>
      <c r="K7" s="43"/>
      <c r="L7" s="43"/>
      <c r="M7" s="44"/>
      <c r="N7" s="60" t="n">
        <v>9</v>
      </c>
      <c r="O7" s="61" t="s">
        <v>27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28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 t="s">
        <v>22</v>
      </c>
      <c r="K10" s="43"/>
      <c r="L10" s="43"/>
      <c r="M10" s="44" t="str">
        <f aca="false">IF(AND(U10=1,N10="",AR10&gt;0,AR10&lt;&gt;""),"TODO !","")</f>
        <v/>
      </c>
      <c r="N10" s="45" t="n">
        <v>172255</v>
      </c>
      <c r="O10" s="46" t="s">
        <v>23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 t="s">
        <v>22</v>
      </c>
      <c r="K11" s="43"/>
      <c r="L11" s="43"/>
      <c r="M11" s="44" t="str">
        <f aca="false">IF(AND(U11=1,N11="",AR11&gt;0,AR11&lt;&gt;""),"TODO !","")</f>
        <v/>
      </c>
      <c r="N11" s="45" t="n">
        <v>172145</v>
      </c>
      <c r="O11" s="46" t="s">
        <v>23</v>
      </c>
      <c r="P11" s="50" t="n">
        <f aca="false">IF(AND(N11&lt;&gt;"",N10&lt;&gt;""),N11/$N$10,"")</f>
        <v>0.999361411860323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 t="s">
        <v>22</v>
      </c>
      <c r="K12" s="43"/>
      <c r="L12" s="43"/>
      <c r="M12" s="44" t="str">
        <f aca="false">IF(AND(U12=1,N12="",AR12&gt;0,AR12&lt;&gt;""),"TODO !","")</f>
        <v/>
      </c>
      <c r="N12" s="45" t="n">
        <v>172346</v>
      </c>
      <c r="O12" s="46" t="s">
        <v>23</v>
      </c>
      <c r="P12" s="50" t="n">
        <f aca="false">IF(AND(N12&lt;&gt;"",N11&lt;&gt;""),N12/$N$10,"")</f>
        <v>1.00052828655191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2.8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 t="s">
        <v>22</v>
      </c>
      <c r="K13" s="43"/>
      <c r="L13" s="43"/>
      <c r="M13" s="44"/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/>
      <c r="AF13" s="0" t="str">
        <f aca="false">IF(AND(J13="x",AE13=""),"TODO !","")</f>
        <v>TODO !</v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 t="s">
        <v>22</v>
      </c>
      <c r="K15" s="43"/>
      <c r="L15" s="43"/>
      <c r="M15" s="44" t="str">
        <f aca="false">IF(AND(U15=1,N15="",AR15&gt;0,AR15&lt;&gt;""),"TODO !","")</f>
        <v/>
      </c>
      <c r="N15" s="60" t="n">
        <v>9</v>
      </c>
      <c r="O15" s="61" t="s">
        <v>27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 t="s">
        <v>22</v>
      </c>
      <c r="K16" s="43"/>
      <c r="L16" s="43"/>
      <c r="M16" s="44" t="str">
        <f aca="false">IF(AND(U16=1,N16="",AR16&gt;0,AR16&lt;&gt;""),"TODO !","")</f>
        <v/>
      </c>
      <c r="N16" s="60" t="n">
        <v>9</v>
      </c>
      <c r="O16" s="61" t="s">
        <v>27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 t="s">
        <v>22</v>
      </c>
      <c r="K17" s="43"/>
      <c r="L17" s="43"/>
      <c r="M17" s="44" t="str">
        <f aca="false">IF(AND(U17=1,N17="",AR17&gt;0,AR17&lt;&gt;""),"TODO !","")</f>
        <v/>
      </c>
      <c r="N17" s="60" t="n">
        <v>10</v>
      </c>
      <c r="O17" s="61" t="s">
        <v>27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28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 t="s">
        <v>22</v>
      </c>
      <c r="K20" s="43"/>
      <c r="L20" s="43"/>
      <c r="M20" s="44" t="str">
        <f aca="false">IF(AND(U20=1,N20="",AR20&gt;0,AR20&lt;&gt;""),"TODO !","")</f>
        <v/>
      </c>
      <c r="N20" s="45" t="n">
        <v>241</v>
      </c>
      <c r="O20" s="46" t="s">
        <v>23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65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 t="s">
        <v>22</v>
      </c>
      <c r="K21" s="43"/>
      <c r="L21" s="43"/>
      <c r="M21" s="44" t="str">
        <f aca="false">IF(AND(U21=1,N21="",AR21&gt;0,AR21&lt;&gt;""),"TODO !","")</f>
        <v/>
      </c>
      <c r="N21" s="45" t="n">
        <v>279</v>
      </c>
      <c r="O21" s="46" t="s">
        <v>23</v>
      </c>
      <c r="P21" s="83" t="n">
        <f aca="false">IF(N21&lt;&gt;"",N21/$N$20,"")</f>
        <v>1.15767634854772</v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 t="s">
        <v>22</v>
      </c>
      <c r="K22" s="43"/>
      <c r="L22" s="43"/>
      <c r="M22" s="44" t="str">
        <f aca="false">IF(AND(U22=1,N22="",AR22&gt;0,AR22&lt;&gt;""),"TODO !","")</f>
        <v/>
      </c>
      <c r="N22" s="45" t="n">
        <v>97</v>
      </c>
      <c r="O22" s="46" t="s">
        <v>23</v>
      </c>
      <c r="P22" s="83" t="n">
        <f aca="false">IF(N22&lt;&gt;"",N22/$N$20,"")</f>
        <v>0.402489626556017</v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2.8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 t="s">
        <v>22</v>
      </c>
      <c r="K23" s="43"/>
      <c r="L23" s="43"/>
      <c r="M23" s="44" t="str">
        <f aca="false">IF(AND(U23=1,N23="",AR23&gt;0,AR23&lt;&gt;""),"TODO !","")</f>
        <v/>
      </c>
      <c r="N23" s="86" t="n">
        <v>280</v>
      </c>
      <c r="O23" s="46" t="s">
        <v>23</v>
      </c>
      <c r="P23" s="87" t="n">
        <f aca="false">IF(N23&lt;&gt;"",N23/$N$20,"")</f>
        <v>1.16182572614108</v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6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n">
        <f aca="false">IF(J23="x",AN$4,"")</f>
        <v>3</v>
      </c>
      <c r="AO23" s="2"/>
      <c r="AP23" s="48" t="n">
        <f aca="false">COUNTIF(G23:J23,"=x")</f>
        <v>1</v>
      </c>
      <c r="AQ23" s="48" t="n">
        <f aca="false">IF(AP23&gt;0,AVERAGE(AK23:AN23),"")</f>
        <v>3</v>
      </c>
      <c r="AR23" s="48" t="n">
        <f aca="false">IF(AND(AP23&gt;0,U23=1),AQ23*R23,"")</f>
        <v>6</v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44</v>
      </c>
      <c r="N24" s="45" t="n">
        <f aca="false">MAX(N20:N23)</f>
        <v>280</v>
      </c>
      <c r="O24" s="46" t="s">
        <v>23</v>
      </c>
      <c r="P24" s="83" t="n">
        <f aca="false">IF(N24&lt;&gt;"",N24/$N$20,"")</f>
        <v>1.16182572614108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 t="s">
        <v>22</v>
      </c>
      <c r="K26" s="43"/>
      <c r="L26" s="43"/>
      <c r="M26" s="44" t="str">
        <f aca="false">IF(AND(U26=1,N26="",AR26&gt;0,AR26&lt;&gt;""),"TODO !","")</f>
        <v/>
      </c>
      <c r="N26" s="60" t="n">
        <v>2</v>
      </c>
      <c r="O26" s="61" t="s">
        <v>27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 t="s">
        <v>22</v>
      </c>
      <c r="J27" s="59"/>
      <c r="K27" s="43"/>
      <c r="L27" s="43"/>
      <c r="M27" s="44" t="str">
        <f aca="false">IF(AND(U27=1,N27="",AR27&gt;0,AR27&lt;&gt;""),"TODO !","")</f>
        <v/>
      </c>
      <c r="N27" s="60" t="n">
        <v>4</v>
      </c>
      <c r="O27" s="61" t="s">
        <v>27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2</v>
      </c>
      <c r="Z27" s="50"/>
      <c r="AA27" s="50"/>
      <c r="AB27" s="50"/>
      <c r="AC27" s="50"/>
      <c r="AD27" s="50"/>
      <c r="AE27" s="73" t="s">
        <v>45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n">
        <f aca="false">IF(I27="x",AM$4,"")</f>
        <v>2</v>
      </c>
      <c r="AN27" s="48" t="str">
        <f aca="false">IF(J27="x",AN$4,"")</f>
        <v/>
      </c>
      <c r="AO27" s="2"/>
      <c r="AP27" s="48" t="n">
        <f aca="false">COUNTIF(G27:J27,"=x")</f>
        <v>1</v>
      </c>
      <c r="AQ27" s="48" t="n">
        <f aca="false">IF(AP27&gt;0,AVERAGE(AK27:AN27),"")</f>
        <v>2</v>
      </c>
      <c r="AR27" s="48" t="n">
        <f aca="false">IF(AND(AP27&gt;0,U27=1),AQ27*R27,"")</f>
        <v>2</v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 t="s">
        <v>22</v>
      </c>
      <c r="K28" s="43"/>
      <c r="L28" s="43"/>
      <c r="M28" s="44" t="str">
        <f aca="false">IF(AND(U28=1,N28="",AR28&gt;0,AR28&lt;&gt;""),"TODO !","")</f>
        <v/>
      </c>
      <c r="N28" s="60" t="n">
        <v>1.9</v>
      </c>
      <c r="O28" s="61" t="s">
        <v>27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 t="s">
        <v>22</v>
      </c>
      <c r="K29" s="43"/>
      <c r="L29" s="43"/>
      <c r="M29" s="44" t="str">
        <f aca="false">IF(AND(U29=1,N29="",AR29&gt;0,AR29&lt;&gt;""),"TODO !","")</f>
        <v/>
      </c>
      <c r="N29" s="60" t="n">
        <v>9</v>
      </c>
      <c r="O29" s="61" t="s">
        <v>27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3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n">
        <f aca="false">IF(J29="x",AN$4,"")</f>
        <v>3</v>
      </c>
      <c r="AO29" s="2"/>
      <c r="AP29" s="48" t="n">
        <f aca="false">COUNTIF(G29:J29,"=x")</f>
        <v>1</v>
      </c>
      <c r="AQ29" s="48" t="n">
        <f aca="false">IF(AP29&gt;0,AVERAGE(AK29:AN29),"")</f>
        <v>3</v>
      </c>
      <c r="AR29" s="48" t="n">
        <f aca="false">IF(AND(AP29&gt;0,U29=1),AQ29*R29,"")</f>
        <v>3</v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 t="s">
        <v>22</v>
      </c>
      <c r="K32" s="43"/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 t="s">
        <v>22</v>
      </c>
      <c r="K33" s="43"/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 t="s">
        <v>22</v>
      </c>
      <c r="K35" s="43"/>
      <c r="L35" s="43"/>
      <c r="M35" s="44" t="str">
        <f aca="false">IF(AND(U35=1,N35="",AR35&gt;0,AR35&lt;&gt;""),"TODO !","")</f>
        <v/>
      </c>
      <c r="N35" s="60" t="n">
        <v>14</v>
      </c>
      <c r="O35" s="61" t="s">
        <v>27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 t="s">
        <v>22</v>
      </c>
      <c r="K36" s="43"/>
      <c r="L36" s="43"/>
      <c r="M36" s="44" t="str">
        <f aca="false">IF(AND(U36=1,N36="",AR36&gt;0,AR36&lt;&gt;""),"TODO !","")</f>
        <v/>
      </c>
      <c r="N36" s="60" t="n">
        <v>12</v>
      </c>
      <c r="O36" s="61" t="s">
        <v>27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 t="s">
        <v>22</v>
      </c>
      <c r="K38" s="43"/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 t="s">
        <v>22</v>
      </c>
      <c r="K39" s="43"/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 t="s">
        <v>22</v>
      </c>
      <c r="K40" s="43"/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 t="s">
        <v>22</v>
      </c>
      <c r="K42" s="43"/>
      <c r="L42" s="43"/>
      <c r="M42" s="44" t="str">
        <f aca="false">IF(AND(U42=1,N42="",AR42&gt;0,AR42&lt;&gt;""),"TODO !","")</f>
        <v/>
      </c>
      <c r="N42" s="60" t="n">
        <v>14</v>
      </c>
      <c r="O42" s="61" t="s">
        <v>27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 t="s">
        <v>22</v>
      </c>
      <c r="K43" s="43"/>
      <c r="L43" s="43"/>
      <c r="M43" s="44" t="str">
        <f aca="false">IF(AND(U43=1,N43="",AR43&gt;0,AR43&lt;&gt;""),"TODO !","")</f>
        <v/>
      </c>
      <c r="N43" s="60" t="n">
        <v>12</v>
      </c>
      <c r="O43" s="61" t="s">
        <v>27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 t="s">
        <v>22</v>
      </c>
      <c r="K44" s="43"/>
      <c r="L44" s="43"/>
      <c r="M44" s="44" t="str">
        <f aca="false">IF(AND(U44=1,N44="",AR44&gt;0,AR44&lt;&gt;""),"TODO !","")</f>
        <v/>
      </c>
      <c r="N44" s="60" t="n">
        <v>98</v>
      </c>
      <c r="O44" s="61" t="s">
        <v>27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28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 t="s">
        <v>22</v>
      </c>
      <c r="K47" s="43"/>
      <c r="L47" s="43"/>
      <c r="M47" s="44" t="str">
        <f aca="false">IF(AND(U47=1,N47="",AR47&gt;0,AR47&lt;&gt;""),"TODO !","")</f>
        <v/>
      </c>
      <c r="N47" s="45" t="n">
        <v>4570</v>
      </c>
      <c r="O47" s="46" t="s">
        <v>23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 t="s">
        <v>22</v>
      </c>
      <c r="K48" s="43"/>
      <c r="L48" s="43"/>
      <c r="M48" s="44" t="str">
        <f aca="false">IF(AND(U48=1,N48="",AR48&gt;0,AR48&lt;&gt;""),"TODO !","")</f>
        <v/>
      </c>
      <c r="N48" s="45" t="n">
        <v>17357</v>
      </c>
      <c r="O48" s="46" t="s">
        <v>23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 t="s">
        <v>22</v>
      </c>
      <c r="K49" s="43"/>
      <c r="L49" s="43"/>
      <c r="M49" s="44" t="str">
        <f aca="false">IF(AND(U49=1,N49="",AR49&gt;0,AR49&lt;&gt;""),"TODO !","")</f>
        <v/>
      </c>
      <c r="N49" s="45" t="n">
        <v>29277</v>
      </c>
      <c r="O49" s="46" t="s">
        <v>23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28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37</v>
      </c>
      <c r="F51" s="34"/>
      <c r="G51" s="41"/>
      <c r="H51" s="41"/>
      <c r="I51" s="41"/>
      <c r="J51" s="59" t="s">
        <v>22</v>
      </c>
      <c r="K51" s="43"/>
      <c r="L51" s="43"/>
      <c r="M51" s="44" t="str">
        <f aca="false">IF(AND(U51=1,N51="",AR51&gt;0,AR51&lt;&gt;""),"TODO !","")</f>
        <v/>
      </c>
      <c r="N51" s="60" t="n">
        <v>16</v>
      </c>
      <c r="O51" s="61" t="s">
        <v>27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 t="s">
        <v>22</v>
      </c>
      <c r="K52" s="43"/>
      <c r="L52" s="43"/>
      <c r="M52" s="44" t="str">
        <f aca="false">IF(AND(U52=1,N52="",AR52&gt;0,AR52&lt;&gt;""),"TODO !","")</f>
        <v/>
      </c>
      <c r="N52" s="60" t="n">
        <v>13</v>
      </c>
      <c r="O52" s="61" t="s">
        <v>27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 t="s">
        <v>22</v>
      </c>
      <c r="K53" s="43"/>
      <c r="L53" s="43"/>
      <c r="M53" s="44" t="str">
        <f aca="false">IF(AND(U53=1,N53="",AR53&gt;0,AR53&lt;&gt;""),"TODO !","")</f>
        <v/>
      </c>
      <c r="N53" s="60" t="n">
        <v>9</v>
      </c>
      <c r="O53" s="61" t="s">
        <v>27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28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64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64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64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28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64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64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64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27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27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27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27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27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27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23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23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23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23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37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27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27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27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27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28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2.8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 t="s">
        <v>22</v>
      </c>
      <c r="K84" s="43"/>
      <c r="L84" s="43"/>
      <c r="M84" s="44" t="str">
        <f aca="false">IF(AND(U84=1,N84="",AR84&gt;0,AR84&lt;&gt;""),"TODO !","")</f>
        <v/>
      </c>
      <c r="N84" s="45" t="n">
        <v>103</v>
      </c>
      <c r="O84" s="46" t="s">
        <v>23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 t="n">
        <v>1</v>
      </c>
      <c r="V84" s="48" t="n">
        <v>1</v>
      </c>
      <c r="W84" s="26" t="str">
        <f aca="false">IF(AND(U84=1,V84=0),"Bonus","")</f>
        <v/>
      </c>
      <c r="X84" s="26"/>
      <c r="Y84" s="49" t="n">
        <f aca="false">IF(U84=1,AR84,"")</f>
        <v>3</v>
      </c>
      <c r="Z84" s="50"/>
      <c r="AA84" s="50"/>
      <c r="AB84" s="50"/>
      <c r="AC84" s="50"/>
      <c r="AD84" s="50"/>
      <c r="AE84" s="73"/>
      <c r="AG84" s="53" t="s">
        <v>77</v>
      </c>
      <c r="AH84" s="2"/>
      <c r="AI84" s="48" t="n">
        <f aca="false">U84*V84*R84</f>
        <v>1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n">
        <f aca="false">IF(J84="x",AN$4,"")</f>
        <v>3</v>
      </c>
      <c r="AO84" s="2"/>
      <c r="AP84" s="48" t="n">
        <f aca="false">COUNTIF(G84:J84,"=x")</f>
        <v>1</v>
      </c>
      <c r="AQ84" s="48" t="n">
        <f aca="false">IF(AP84&gt;0,AVERAGE(AK84:AN84),"")</f>
        <v>3</v>
      </c>
      <c r="AR84" s="48" t="n">
        <f aca="false">IF(AND(AP84&gt;0,U84=1),AQ84*R84,"")</f>
        <v>3</v>
      </c>
      <c r="AS84" s="2"/>
      <c r="AT84" s="48" t="n">
        <f aca="false">AI84*3</f>
        <v>3</v>
      </c>
      <c r="AV84" s="54" t="n">
        <f aca="false">SUM(AR84:AR90)</f>
        <v>78</v>
      </c>
      <c r="AW84" s="54" t="n">
        <f aca="false">SUM(AT84:AT90)</f>
        <v>78</v>
      </c>
    </row>
    <row r="85" customFormat="false" ht="12.8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 t="s">
        <v>22</v>
      </c>
      <c r="K85" s="43"/>
      <c r="L85" s="43"/>
      <c r="M85" s="44" t="str">
        <f aca="false">IF(AND(U85=1,N85="",AR85&gt;0,AR85&lt;&gt;""),"TODO !","")</f>
        <v/>
      </c>
      <c r="N85" s="45" t="n">
        <v>114</v>
      </c>
      <c r="O85" s="46" t="s">
        <v>23</v>
      </c>
      <c r="P85" s="110" t="n">
        <f aca="false">IF(N85&lt;&gt;"",N85/$N$84,"")</f>
        <v>1.10679611650485</v>
      </c>
      <c r="Q85" s="43"/>
      <c r="R85" s="77" t="n">
        <v>6</v>
      </c>
      <c r="S85" s="8"/>
      <c r="U85" s="48" t="n">
        <v>1</v>
      </c>
      <c r="V85" s="48" t="n">
        <v>1</v>
      </c>
      <c r="W85" s="26" t="str">
        <f aca="false">IF(AND(U85=1,V85=0),"Bonus","")</f>
        <v/>
      </c>
      <c r="X85" s="26"/>
      <c r="Y85" s="49" t="n">
        <f aca="false">IF(U85=1,AR85,"")</f>
        <v>18</v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6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n">
        <f aca="false">IF(J85="x",AN$4,"")</f>
        <v>3</v>
      </c>
      <c r="AO85" s="2"/>
      <c r="AP85" s="48" t="n">
        <f aca="false">COUNTIF(G85:J85,"=x")</f>
        <v>1</v>
      </c>
      <c r="AQ85" s="48" t="n">
        <f aca="false">IF(AP85&gt;0,AVERAGE(AK85:AN85),"")</f>
        <v>3</v>
      </c>
      <c r="AR85" s="48" t="n">
        <f aca="false">IF(AND(AP85&gt;0,U85=1),AQ85*R85,"")</f>
        <v>18</v>
      </c>
      <c r="AS85" s="2"/>
      <c r="AT85" s="48" t="n">
        <f aca="false">AI85*3</f>
        <v>18</v>
      </c>
      <c r="AV85" s="54"/>
      <c r="AW85" s="54"/>
    </row>
    <row r="86" customFormat="false" ht="12.8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 t="s">
        <v>22</v>
      </c>
      <c r="K86" s="43"/>
      <c r="L86" s="43"/>
      <c r="M86" s="44" t="str">
        <f aca="false">IF(AND(U86=1,N86="",AR86&gt;0,AR86&lt;&gt;""),"TODO !","")</f>
        <v/>
      </c>
      <c r="N86" s="45" t="n">
        <v>217</v>
      </c>
      <c r="O86" s="46" t="s">
        <v>23</v>
      </c>
      <c r="P86" s="110" t="n">
        <f aca="false">IF(N86&lt;&gt;"",N86/$N$84,"")</f>
        <v>2.10679611650485</v>
      </c>
      <c r="Q86" s="43"/>
      <c r="R86" s="77" t="n">
        <v>9</v>
      </c>
      <c r="S86" s="8"/>
      <c r="U86" s="48" t="n">
        <v>1</v>
      </c>
      <c r="V86" s="48" t="n">
        <v>1</v>
      </c>
      <c r="W86" s="26" t="str">
        <f aca="false">IF(AND(U86=1,V86=0),"Bonus","")</f>
        <v/>
      </c>
      <c r="X86" s="26"/>
      <c r="Y86" s="49" t="n">
        <f aca="false">IF(U86=1,AR86,"")</f>
        <v>27</v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9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n">
        <f aca="false">IF(J86="x",AN$4,"")</f>
        <v>3</v>
      </c>
      <c r="AO86" s="2"/>
      <c r="AP86" s="48" t="n">
        <f aca="false">COUNTIF(G86:J86,"=x")</f>
        <v>1</v>
      </c>
      <c r="AQ86" s="48" t="n">
        <f aca="false">IF(AP86&gt;0,AVERAGE(AK86:AN86),"")</f>
        <v>3</v>
      </c>
      <c r="AR86" s="48" t="n">
        <f aca="false">IF(AND(AP86&gt;0,U86=1),AQ86*R86,"")</f>
        <v>27</v>
      </c>
      <c r="AS86" s="2"/>
      <c r="AT86" s="48" t="n">
        <f aca="false">AI86*3</f>
        <v>27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37</v>
      </c>
      <c r="F88" s="34"/>
      <c r="G88" s="41"/>
      <c r="H88" s="41"/>
      <c r="I88" s="41"/>
      <c r="J88" s="59" t="s">
        <v>22</v>
      </c>
      <c r="K88" s="43"/>
      <c r="L88" s="43"/>
      <c r="M88" s="44" t="str">
        <f aca="false">IF(AND(U88=1,N88="",AR88&gt;0,AR88&lt;&gt;""),"TODO !","")</f>
        <v/>
      </c>
      <c r="N88" s="111" t="n">
        <v>23</v>
      </c>
      <c r="O88" s="61" t="s">
        <v>27</v>
      </c>
      <c r="P88" s="110"/>
      <c r="Q88" s="43"/>
      <c r="R88" s="77" t="n">
        <v>1</v>
      </c>
      <c r="S88" s="8"/>
      <c r="U88" s="48" t="n">
        <v>1</v>
      </c>
      <c r="V88" s="48" t="n">
        <v>1</v>
      </c>
      <c r="W88" s="26" t="str">
        <f aca="false">IF(AND(U88=1,V88=0),"Bonus","")</f>
        <v/>
      </c>
      <c r="X88" s="26"/>
      <c r="Y88" s="49" t="n">
        <f aca="false">IF(U88=1,AR88,"")</f>
        <v>3</v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1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n">
        <f aca="false">IF(J88="x",AN$4,"")</f>
        <v>3</v>
      </c>
      <c r="AO88" s="2"/>
      <c r="AP88" s="48" t="n">
        <f aca="false">COUNTIF(G88:J88,"=x")</f>
        <v>1</v>
      </c>
      <c r="AQ88" s="48" t="n">
        <f aca="false">IF(AP88&gt;0,AVERAGE(AK88:AN88),"")</f>
        <v>3</v>
      </c>
      <c r="AR88" s="48" t="n">
        <f aca="false">IF(AND(AP88&gt;0,U88=1),AQ88*R88,"")</f>
        <v>3</v>
      </c>
      <c r="AS88" s="2"/>
      <c r="AT88" s="48" t="n">
        <f aca="false">AI88*3</f>
        <v>3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 t="s">
        <v>22</v>
      </c>
      <c r="K89" s="43"/>
      <c r="L89" s="43"/>
      <c r="M89" s="44" t="str">
        <f aca="false">IF(AND(U89=1,N89="",AR89&gt;0,AR89&lt;&gt;""),"TODO !","")</f>
        <v/>
      </c>
      <c r="N89" s="111" t="n">
        <v>23</v>
      </c>
      <c r="O89" s="61" t="s">
        <v>27</v>
      </c>
      <c r="P89" s="110"/>
      <c r="Q89" s="43"/>
      <c r="R89" s="77" t="n">
        <v>4</v>
      </c>
      <c r="S89" s="8"/>
      <c r="U89" s="48" t="n">
        <v>1</v>
      </c>
      <c r="V89" s="48" t="n">
        <v>1</v>
      </c>
      <c r="W89" s="26" t="str">
        <f aca="false">IF(AND(U89=1,V89=0),"Bonus","")</f>
        <v/>
      </c>
      <c r="X89" s="26"/>
      <c r="Y89" s="49" t="n">
        <f aca="false">IF(U89=1,AR89,"")</f>
        <v>12</v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4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n">
        <f aca="false">IF(J89="x",AN$4,"")</f>
        <v>3</v>
      </c>
      <c r="AO89" s="2"/>
      <c r="AP89" s="48" t="n">
        <f aca="false">COUNTIF(G89:J89,"=x")</f>
        <v>1</v>
      </c>
      <c r="AQ89" s="48" t="n">
        <f aca="false">IF(AP89&gt;0,AVERAGE(AK89:AN89),"")</f>
        <v>3</v>
      </c>
      <c r="AR89" s="48" t="n">
        <f aca="false">IF(AND(AP89&gt;0,U89=1),AQ89*R89,"")</f>
        <v>12</v>
      </c>
      <c r="AS89" s="2"/>
      <c r="AT89" s="48" t="n">
        <f aca="false">AI89*3</f>
        <v>12</v>
      </c>
      <c r="AV89" s="54"/>
      <c r="AW89" s="54"/>
    </row>
    <row r="90" customFormat="false" ht="12.8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 t="s">
        <v>22</v>
      </c>
      <c r="K90" s="43"/>
      <c r="L90" s="43"/>
      <c r="M90" s="44" t="str">
        <f aca="false">IF(AND(U90=1,N90="",AR90&gt;0,AR90&lt;&gt;""),"TODO !","")</f>
        <v/>
      </c>
      <c r="N90" s="111" t="n">
        <v>31</v>
      </c>
      <c r="O90" s="61" t="s">
        <v>27</v>
      </c>
      <c r="P90" s="110"/>
      <c r="Q90" s="43"/>
      <c r="R90" s="77" t="n">
        <v>5</v>
      </c>
      <c r="S90" s="8"/>
      <c r="U90" s="48" t="n">
        <v>1</v>
      </c>
      <c r="V90" s="48" t="n">
        <v>1</v>
      </c>
      <c r="W90" s="26" t="str">
        <f aca="false">IF(AND(U90=1,V90=0),"Bonus","")</f>
        <v/>
      </c>
      <c r="X90" s="26"/>
      <c r="Y90" s="49" t="n">
        <f aca="false">IF(U90=1,AR90,"")</f>
        <v>15</v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5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n">
        <f aca="false">IF(J90="x",AN$4,"")</f>
        <v>3</v>
      </c>
      <c r="AO90" s="2"/>
      <c r="AP90" s="48" t="n">
        <f aca="false">COUNTIF(G90:J90,"=x")</f>
        <v>1</v>
      </c>
      <c r="AQ90" s="48" t="n">
        <f aca="false">IF(AP90&gt;0,AVERAGE(AK90:AN90),"")</f>
        <v>3</v>
      </c>
      <c r="AR90" s="48" t="n">
        <f aca="false">IF(AND(AP90&gt;0,U90=1),AQ90*R90,"")</f>
        <v>15</v>
      </c>
      <c r="AS90" s="2"/>
      <c r="AT90" s="48" t="n">
        <f aca="false">AI90*3</f>
        <v>15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81</v>
      </c>
      <c r="O92" s="61"/>
      <c r="P92" s="26" t="s">
        <v>82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2.8" hidden="false" customHeight="false" outlineLevel="2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23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 t="n">
        <v>1</v>
      </c>
      <c r="V93" s="48" t="n">
        <v>1</v>
      </c>
      <c r="W93" s="26" t="str">
        <f aca="false">IF(AND(U93=1,V93=0),"Bonus","")</f>
        <v/>
      </c>
      <c r="X93" s="26"/>
      <c r="Y93" s="49" t="n">
        <f aca="false">IF(U93=1,AR93,"")</f>
        <v>3</v>
      </c>
      <c r="Z93" s="50"/>
      <c r="AA93" s="50"/>
      <c r="AB93" s="50"/>
      <c r="AC93" s="50"/>
      <c r="AD93" s="50"/>
      <c r="AE93" s="73"/>
      <c r="AG93" s="53" t="s">
        <v>86</v>
      </c>
      <c r="AH93" s="2"/>
      <c r="AI93" s="48" t="n">
        <f aca="false">U93*V93*R93</f>
        <v>1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n">
        <f aca="false">IF(AND(AP93&gt;0,U93=1),AQ93*R93,"")</f>
        <v>3</v>
      </c>
      <c r="AS93" s="2"/>
      <c r="AT93" s="48" t="n">
        <f aca="false">AI93*3</f>
        <v>3</v>
      </c>
      <c r="AV93" s="54" t="n">
        <f aca="false">SUM(AR93:AR100)</f>
        <v>36</v>
      </c>
      <c r="AW93" s="54" t="n">
        <f aca="false">SUM(AT93:AT100)</f>
        <v>36</v>
      </c>
    </row>
    <row r="94" customFormat="false" ht="12.8" hidden="false" customHeight="false" outlineLevel="2" collapsed="false">
      <c r="B94" s="99"/>
      <c r="C94" s="82"/>
      <c r="D94" s="34"/>
      <c r="E94" s="93" t="s">
        <v>87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23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 t="n">
        <v>1</v>
      </c>
      <c r="V94" s="48" t="n">
        <v>1</v>
      </c>
      <c r="W94" s="26" t="str">
        <f aca="false">IF(AND(U94=1,V94=0),"Bonus","")</f>
        <v/>
      </c>
      <c r="X94" s="26"/>
      <c r="Y94" s="49" t="n">
        <f aca="false">IF(U94=1,AR94,"")</f>
        <v>6</v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2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n">
        <f aca="false">IF(AND(AP94&gt;0,U94=1),AQ94*R94,"")</f>
        <v>6</v>
      </c>
      <c r="AS94" s="2"/>
      <c r="AT94" s="48" t="n">
        <f aca="false">AI94*3</f>
        <v>6</v>
      </c>
      <c r="AV94" s="54"/>
      <c r="AW94" s="54"/>
    </row>
    <row r="95" customFormat="false" ht="12.8" hidden="false" customHeight="false" outlineLevel="2" collapsed="false">
      <c r="B95" s="99"/>
      <c r="C95" s="82" t="s">
        <v>84</v>
      </c>
      <c r="D95" s="34" t="s">
        <v>30</v>
      </c>
      <c r="E95" s="93" t="s">
        <v>85</v>
      </c>
      <c r="F95" s="3" t="s">
        <v>34</v>
      </c>
      <c r="G95" s="41"/>
      <c r="H95" s="41"/>
      <c r="I95" s="42"/>
      <c r="J95" s="41" t="s">
        <v>22</v>
      </c>
      <c r="K95" s="43"/>
      <c r="L95" s="43"/>
      <c r="M95" s="44" t="str">
        <f aca="false">IF(AND(U95=1,N95="",AR95&gt;0,AR95&lt;&gt;""),"TODO !","")</f>
        <v/>
      </c>
      <c r="N95" s="124" t="n">
        <v>8</v>
      </c>
      <c r="O95" s="46" t="s">
        <v>23</v>
      </c>
      <c r="P95" s="125" t="n">
        <f aca="false">IF(AND(N95&lt;&gt;"",$N$11&lt;&gt;""),$N$11/N95,"")</f>
        <v>21518.125</v>
      </c>
      <c r="Q95" s="43"/>
      <c r="R95" s="77" t="n">
        <v>1</v>
      </c>
      <c r="S95" s="8"/>
      <c r="U95" s="48" t="n">
        <v>1</v>
      </c>
      <c r="V95" s="48" t="n">
        <v>1</v>
      </c>
      <c r="W95" s="26" t="str">
        <f aca="false">IF(AND(U95=1,V95=0),"Bonus","")</f>
        <v/>
      </c>
      <c r="X95" s="26"/>
      <c r="Y95" s="49" t="n">
        <f aca="false">IF(U95=1,AR95,"")</f>
        <v>3</v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1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n">
        <f aca="false">IF(J95="x",AN$4,"")</f>
        <v>3</v>
      </c>
      <c r="AO95" s="2"/>
      <c r="AP95" s="48" t="n">
        <f aca="false">COUNTIF(G95:J95,"=x")</f>
        <v>1</v>
      </c>
      <c r="AQ95" s="48" t="n">
        <f aca="false">IF(AP95&gt;0,AVERAGE(AK95:AN95),"")</f>
        <v>3</v>
      </c>
      <c r="AR95" s="48" t="n">
        <f aca="false">IF(AND(AP95&gt;0,U95=1),AQ95*R95,"")</f>
        <v>3</v>
      </c>
      <c r="AS95" s="2"/>
      <c r="AT95" s="48" t="n">
        <f aca="false">AI95*3</f>
        <v>3</v>
      </c>
      <c r="AV95" s="54"/>
      <c r="AW95" s="54"/>
    </row>
    <row r="96" customFormat="false" ht="12.8" hidden="false" customHeight="false" outlineLevel="2" collapsed="false">
      <c r="B96" s="99"/>
      <c r="C96" s="82"/>
      <c r="D96" s="34"/>
      <c r="E96" s="93" t="s">
        <v>87</v>
      </c>
      <c r="F96" s="3" t="s">
        <v>34</v>
      </c>
      <c r="G96" s="41"/>
      <c r="H96" s="41"/>
      <c r="I96" s="42"/>
      <c r="J96" s="41" t="s">
        <v>22</v>
      </c>
      <c r="K96" s="43"/>
      <c r="L96" s="43"/>
      <c r="M96" s="44" t="str">
        <f aca="false">IF(AND(U96=1,N96="",AR96&gt;0,AR96&lt;&gt;""),"TODO !","")</f>
        <v/>
      </c>
      <c r="N96" s="126" t="n">
        <v>50.3</v>
      </c>
      <c r="O96" s="46" t="s">
        <v>23</v>
      </c>
      <c r="P96" s="128" t="n">
        <f aca="false">IF(AND(N96&lt;&gt;"",$N$11&lt;&gt;""),$N$11/N96,"")</f>
        <v>3422.36580516899</v>
      </c>
      <c r="Q96" s="43"/>
      <c r="R96" s="77" t="n">
        <v>2</v>
      </c>
      <c r="S96" s="8"/>
      <c r="U96" s="48" t="n">
        <v>1</v>
      </c>
      <c r="V96" s="48" t="n">
        <v>1</v>
      </c>
      <c r="W96" s="26" t="str">
        <f aca="false">IF(AND(U96=1,V96=0),"Bonus","")</f>
        <v/>
      </c>
      <c r="X96" s="26"/>
      <c r="Y96" s="49" t="n">
        <f aca="false">IF(U96=1,AR96,"")</f>
        <v>6</v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2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n">
        <f aca="false">IF(J96="x",AN$4,"")</f>
        <v>3</v>
      </c>
      <c r="AO96" s="2"/>
      <c r="AP96" s="48" t="n">
        <f aca="false">COUNTIF(G96:J96,"=x")</f>
        <v>1</v>
      </c>
      <c r="AQ96" s="48" t="n">
        <f aca="false">IF(AP96&gt;0,AVERAGE(AK96:AN96),"")</f>
        <v>3</v>
      </c>
      <c r="AR96" s="48" t="n">
        <f aca="false">IF(AND(AP96&gt;0,U96=1),AQ96*R96,"")</f>
        <v>6</v>
      </c>
      <c r="AS96" s="2"/>
      <c r="AT96" s="48" t="n">
        <f aca="false">AI96*3</f>
        <v>6</v>
      </c>
      <c r="AV96" s="54"/>
      <c r="AW96" s="54"/>
    </row>
    <row r="97" customFormat="false" ht="12.8" hidden="false" customHeight="false" outlineLevel="2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42"/>
      <c r="J97" s="41" t="s">
        <v>22</v>
      </c>
      <c r="K97" s="43"/>
      <c r="L97" s="43"/>
      <c r="M97" s="44" t="str">
        <f aca="false">IF(AND(U97=1,N97="",AR97&gt;0,AR97&lt;&gt;""),"TODO !","")</f>
        <v/>
      </c>
      <c r="N97" s="124" t="n">
        <v>0.3</v>
      </c>
      <c r="O97" s="46" t="s">
        <v>23</v>
      </c>
      <c r="P97" s="125" t="n">
        <f aca="false">IF(AND(N97&lt;&gt;"",$N$11&lt;&gt;""),$N$24/N97,"")</f>
        <v>933.333333333333</v>
      </c>
      <c r="Q97" s="43"/>
      <c r="R97" s="77" t="n">
        <v>1</v>
      </c>
      <c r="S97" s="8"/>
      <c r="U97" s="48" t="n">
        <v>1</v>
      </c>
      <c r="V97" s="48" t="n">
        <v>1</v>
      </c>
      <c r="W97" s="26" t="str">
        <f aca="false">IF(AND(U97=1,V97=0),"Bonus","")</f>
        <v/>
      </c>
      <c r="X97" s="26"/>
      <c r="Y97" s="49" t="n">
        <f aca="false">IF(U97=1,AR97,"")</f>
        <v>3</v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1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n">
        <f aca="false">IF(J97="x",AN$4,"")</f>
        <v>3</v>
      </c>
      <c r="AO97" s="2"/>
      <c r="AP97" s="48" t="n">
        <f aca="false">COUNTIF(G97:J97,"=x")</f>
        <v>1</v>
      </c>
      <c r="AQ97" s="48" t="n">
        <f aca="false">IF(AP97&gt;0,AVERAGE(AK97:AN97),"")</f>
        <v>3</v>
      </c>
      <c r="AR97" s="48" t="n">
        <f aca="false">IF(AND(AP97&gt;0,U97=1),AQ97*R97,"")</f>
        <v>3</v>
      </c>
      <c r="AS97" s="2"/>
      <c r="AT97" s="48" t="n">
        <f aca="false">AI97*3</f>
        <v>3</v>
      </c>
      <c r="AV97" s="54"/>
      <c r="AW97" s="54"/>
    </row>
    <row r="98" customFormat="false" ht="12.8" hidden="false" customHeight="false" outlineLevel="2" collapsed="false">
      <c r="B98" s="99"/>
      <c r="C98" s="82"/>
      <c r="D98" s="34"/>
      <c r="E98" s="93" t="s">
        <v>87</v>
      </c>
      <c r="F98" s="3"/>
      <c r="G98" s="41"/>
      <c r="H98" s="41"/>
      <c r="I98" s="42"/>
      <c r="J98" s="41" t="s">
        <v>22</v>
      </c>
      <c r="K98" s="43"/>
      <c r="L98" s="43"/>
      <c r="M98" s="44" t="str">
        <f aca="false">IF(AND(U98=1,N98="",AR98&gt;0,AR98&lt;&gt;""),"TODO !","")</f>
        <v/>
      </c>
      <c r="N98" s="126" t="n">
        <v>6.8</v>
      </c>
      <c r="O98" s="46" t="s">
        <v>23</v>
      </c>
      <c r="P98" s="127" t="n">
        <f aca="false">IF(AND(N98&lt;&gt;"",$N$24&lt;&gt;""),$N$24/N98,"")</f>
        <v>41.1764705882353</v>
      </c>
      <c r="Q98" s="43"/>
      <c r="R98" s="77" t="n">
        <v>2</v>
      </c>
      <c r="S98" s="8"/>
      <c r="U98" s="48" t="n">
        <v>1</v>
      </c>
      <c r="V98" s="48" t="n">
        <v>1</v>
      </c>
      <c r="W98" s="26" t="str">
        <f aca="false">IF(AND(U98=1,V98=0),"Bonus","")</f>
        <v/>
      </c>
      <c r="X98" s="26"/>
      <c r="Y98" s="49" t="n">
        <f aca="false">IF(U98=1,AR98,"")</f>
        <v>6</v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2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n">
        <f aca="false">IF(J98="x",AN$4,"")</f>
        <v>3</v>
      </c>
      <c r="AO98" s="2"/>
      <c r="AP98" s="48" t="n">
        <f aca="false">COUNTIF(G98:J98,"=x")</f>
        <v>1</v>
      </c>
      <c r="AQ98" s="48" t="n">
        <f aca="false">IF(AP98&gt;0,AVERAGE(AK98:AN98),"")</f>
        <v>3</v>
      </c>
      <c r="AR98" s="48" t="n">
        <f aca="false">IF(AND(AP98&gt;0,U98=1),AQ98*R98,"")</f>
        <v>6</v>
      </c>
      <c r="AS98" s="2"/>
      <c r="AT98" s="48" t="n">
        <f aca="false">AI98*3</f>
        <v>6</v>
      </c>
      <c r="AV98" s="54"/>
      <c r="AW98" s="54"/>
    </row>
    <row r="99" customFormat="false" ht="12.8" hidden="false" customHeight="false" outlineLevel="2" collapsed="false">
      <c r="B99" s="99"/>
      <c r="C99" s="82" t="s">
        <v>84</v>
      </c>
      <c r="D99" s="34" t="s">
        <v>89</v>
      </c>
      <c r="E99" s="93" t="s">
        <v>85</v>
      </c>
      <c r="F99" s="3" t="s">
        <v>55</v>
      </c>
      <c r="G99" s="41"/>
      <c r="H99" s="41"/>
      <c r="I99" s="42"/>
      <c r="J99" s="41" t="s">
        <v>22</v>
      </c>
      <c r="K99" s="43" t="s">
        <v>90</v>
      </c>
      <c r="L99" s="43"/>
      <c r="M99" s="44" t="str">
        <f aca="false">IF(AND(U99=1,N99="",AR99&gt;0,AR99&lt;&gt;""),"TODO !","")</f>
        <v/>
      </c>
      <c r="N99" s="129" t="n">
        <v>0.33</v>
      </c>
      <c r="O99" s="130" t="s">
        <v>64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 t="n">
        <v>1</v>
      </c>
      <c r="V99" s="48" t="n">
        <v>1</v>
      </c>
      <c r="W99" s="26" t="str">
        <f aca="false">IF(AND(U99=1,V99=0),"Bonus","")</f>
        <v/>
      </c>
      <c r="X99" s="26"/>
      <c r="Y99" s="49" t="n">
        <f aca="false">IF(U99=1,AR99,"")</f>
        <v>3</v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1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n">
        <f aca="false">IF(J99="x",AN$4,"")</f>
        <v>3</v>
      </c>
      <c r="AO99" s="2"/>
      <c r="AP99" s="48" t="n">
        <f aca="false">COUNTIF(G99:J99,"=x")</f>
        <v>1</v>
      </c>
      <c r="AQ99" s="48" t="n">
        <f aca="false">IF(AP99&gt;0,AVERAGE(AK99:AN99),"")</f>
        <v>3</v>
      </c>
      <c r="AR99" s="48" t="n">
        <f aca="false">IF(AND(AP99&gt;0,U99=1),AQ99*R99,"")</f>
        <v>3</v>
      </c>
      <c r="AS99" s="2"/>
      <c r="AT99" s="48" t="n">
        <f aca="false">AI99*3</f>
        <v>3</v>
      </c>
      <c r="AV99" s="54"/>
      <c r="AW99" s="54"/>
    </row>
    <row r="100" customFormat="false" ht="12.8" hidden="false" customHeight="false" outlineLevel="2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42"/>
      <c r="J100" s="41" t="s">
        <v>22</v>
      </c>
      <c r="K100" s="43" t="s">
        <v>91</v>
      </c>
      <c r="L100" s="43"/>
      <c r="M100" s="44" t="str">
        <f aca="false">IF(AND(U100=1,N100="",AR100&gt;0,AR100&lt;&gt;""),"TODO !","")</f>
        <v/>
      </c>
      <c r="N100" s="134" t="n">
        <v>17.58</v>
      </c>
      <c r="O100" s="130" t="s">
        <v>64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 t="n">
        <v>1</v>
      </c>
      <c r="V100" s="48" t="n">
        <v>1</v>
      </c>
      <c r="W100" s="26" t="str">
        <f aca="false">IF(AND(U100=1,V100=0),"Bonus","")</f>
        <v/>
      </c>
      <c r="X100" s="26"/>
      <c r="Y100" s="49" t="n">
        <f aca="false">IF(U100=1,AR100,"")</f>
        <v>6</v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2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n">
        <f aca="false">IF(J100="x",AN$4,"")</f>
        <v>3</v>
      </c>
      <c r="AO100" s="2"/>
      <c r="AP100" s="48" t="n">
        <f aca="false">COUNTIF(G100:J100,"=x")</f>
        <v>1</v>
      </c>
      <c r="AQ100" s="48" t="n">
        <f aca="false">IF(AP100&gt;0,AVERAGE(AK100:AN100),"")</f>
        <v>3</v>
      </c>
      <c r="AR100" s="48" t="n">
        <f aca="false">IF(AND(AP100&gt;0,U100=1),AQ100*R100,"")</f>
        <v>6</v>
      </c>
      <c r="AS100" s="2"/>
      <c r="AT100" s="48" t="n">
        <f aca="false">AI100*3</f>
        <v>6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92</v>
      </c>
      <c r="C103" s="38" t="s">
        <v>93</v>
      </c>
      <c r="D103" s="39"/>
      <c r="E103" s="137" t="s">
        <v>94</v>
      </c>
      <c r="F103" s="34"/>
      <c r="G103" s="41"/>
      <c r="H103" s="41"/>
      <c r="I103" s="41"/>
      <c r="J103" s="41" t="s">
        <v>22</v>
      </c>
      <c r="K103" s="35"/>
      <c r="L103" s="35"/>
      <c r="M103" s="44" t="str">
        <f aca="false">IF(AND(U103=1,N103="",AR103&gt;0,AR103&lt;&gt;""),"TODO !","")</f>
        <v/>
      </c>
      <c r="N103" s="45" t="n">
        <v>21</v>
      </c>
      <c r="O103" s="46" t="s">
        <v>23</v>
      </c>
      <c r="P103" s="138" t="s">
        <v>95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n">
        <f aca="false">IF(U103=1,AR103,"")</f>
        <v>12</v>
      </c>
      <c r="AE103" s="74"/>
      <c r="AF103" s="0" t="str">
        <f aca="false">IF(AND(J103="x",AE103=""),"TODO !","")</f>
        <v>TODO !</v>
      </c>
      <c r="AG103" s="53" t="s">
        <v>96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n">
        <f aca="false">IF(J103="x",AN$4,"")</f>
        <v>3</v>
      </c>
      <c r="AO103" s="2"/>
      <c r="AP103" s="48" t="n">
        <f aca="false">COUNTIF(G103:J103,"=x")</f>
        <v>1</v>
      </c>
      <c r="AQ103" s="48" t="n">
        <f aca="false">IF(AP103&gt;0,AVERAGE(AK103:AN103),"")</f>
        <v>3</v>
      </c>
      <c r="AR103" s="48" t="n">
        <f aca="false">IF(AND(AP103&gt;0,U103=1),AQ103*R103,"")</f>
        <v>12</v>
      </c>
      <c r="AS103" s="2"/>
      <c r="AT103" s="48" t="n">
        <f aca="false">AI103*3</f>
        <v>12</v>
      </c>
      <c r="AV103" s="54" t="n">
        <f aca="false">SUM(AR103:AR108)</f>
        <v>28</v>
      </c>
      <c r="AW103" s="54" t="n">
        <f aca="false">SUM(AT103:AT108)</f>
        <v>30</v>
      </c>
    </row>
    <row r="104" customFormat="false" ht="12.8" hidden="false" customHeight="false" outlineLevel="0" collapsed="false">
      <c r="B104" s="22"/>
      <c r="C104" s="82" t="s">
        <v>97</v>
      </c>
      <c r="D104" s="139"/>
      <c r="E104" s="137"/>
      <c r="F104" s="34"/>
      <c r="G104" s="41"/>
      <c r="H104" s="41"/>
      <c r="I104" s="41"/>
      <c r="J104" s="41"/>
      <c r="K104" s="35" t="s">
        <v>98</v>
      </c>
      <c r="L104" s="35"/>
      <c r="M104" s="44"/>
      <c r="N104" s="45"/>
      <c r="O104" s="46" t="s">
        <v>23</v>
      </c>
      <c r="P104" s="138" t="s">
        <v>95</v>
      </c>
      <c r="Q104" s="35"/>
      <c r="R104" s="47" t="n">
        <v>2</v>
      </c>
      <c r="S104" s="8"/>
      <c r="U104" s="48"/>
      <c r="V104" s="48"/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0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0</v>
      </c>
      <c r="AV104" s="54"/>
      <c r="AW104" s="54"/>
    </row>
    <row r="105" customFormat="false" ht="13.2" hidden="false" customHeight="true" outlineLevel="0" collapsed="false">
      <c r="B105" s="22"/>
      <c r="C105" s="82" t="s">
        <v>99</v>
      </c>
      <c r="E105" s="137" t="s">
        <v>100</v>
      </c>
      <c r="F105" s="34"/>
      <c r="G105" s="41"/>
      <c r="H105" s="58"/>
      <c r="I105" s="42"/>
      <c r="J105" s="41" t="s">
        <v>22</v>
      </c>
      <c r="K105" s="35"/>
      <c r="L105" s="35"/>
      <c r="M105" s="44" t="str">
        <f aca="false">IF(AND(U105=1,N105="",AR105&gt;0,AR105&lt;&gt;""),"TODO !","")</f>
        <v/>
      </c>
      <c r="N105" s="140" t="n">
        <v>141</v>
      </c>
      <c r="O105" s="61" t="s">
        <v>27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n">
        <f aca="false">IF(U105=1,AR105,"")</f>
        <v>6</v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n">
        <f aca="false">IF(J105="x",AN$4,"")</f>
        <v>3</v>
      </c>
      <c r="AO105" s="2"/>
      <c r="AP105" s="48" t="n">
        <f aca="false">COUNTIF(G105:J105,"=x")</f>
        <v>1</v>
      </c>
      <c r="AQ105" s="48" t="n">
        <f aca="false">IF(AP105&gt;0,AVERAGE(AK105:AN105),"")</f>
        <v>3</v>
      </c>
      <c r="AR105" s="48" t="n">
        <f aca="false">IF(AND(AP105&gt;0,U105=1),AQ105*R105,"")</f>
        <v>6</v>
      </c>
      <c r="AS105" s="2"/>
      <c r="AT105" s="48" t="n">
        <f aca="false">AI105*3</f>
        <v>6</v>
      </c>
      <c r="AV105" s="54"/>
      <c r="AW105" s="54"/>
    </row>
    <row r="106" customFormat="false" ht="12.8" hidden="false" customHeight="false" outlineLevel="0" collapsed="false">
      <c r="B106" s="22"/>
      <c r="C106" s="82" t="s">
        <v>101</v>
      </c>
      <c r="E106" s="137"/>
      <c r="F106" s="34"/>
      <c r="G106" s="41"/>
      <c r="H106" s="58"/>
      <c r="I106" s="42"/>
      <c r="J106" s="41"/>
      <c r="K106" s="35" t="s">
        <v>98</v>
      </c>
      <c r="L106" s="35"/>
      <c r="M106" s="44" t="str">
        <f aca="false">IF(AND(U106=1,N106="",AR106&gt;0,AR106&lt;&gt;""),"TODO !","")</f>
        <v/>
      </c>
      <c r="N106" s="140"/>
      <c r="O106" s="61" t="s">
        <v>27</v>
      </c>
      <c r="P106" s="35"/>
      <c r="Q106" s="35"/>
      <c r="R106" s="47" t="n">
        <v>2</v>
      </c>
      <c r="S106" s="8"/>
      <c r="U106" s="48"/>
      <c r="V106" s="48"/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0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0</v>
      </c>
      <c r="AV106" s="54"/>
      <c r="AW106" s="54"/>
    </row>
    <row r="107" customFormat="false" ht="12.8" hidden="false" customHeight="false" outlineLevel="0" collapsed="false">
      <c r="B107" s="22"/>
      <c r="C107" s="82" t="s">
        <v>102</v>
      </c>
      <c r="D107" s="34"/>
      <c r="E107" s="137"/>
      <c r="F107" s="34"/>
      <c r="G107" s="41"/>
      <c r="H107" s="58" t="s">
        <v>22</v>
      </c>
      <c r="I107" s="42"/>
      <c r="J107" s="41" t="s">
        <v>22</v>
      </c>
      <c r="K107" s="35"/>
      <c r="L107" s="35"/>
      <c r="M107" s="44" t="str">
        <f aca="false">IF(AND(U107=1,N107="",AR107&gt;0,AR107&lt;&gt;""),"TODO !","")</f>
        <v/>
      </c>
      <c r="N107" s="140" t="n">
        <v>62</v>
      </c>
      <c r="O107" s="61" t="s">
        <v>27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n">
        <f aca="false">IF(U107=1,AR107,"")</f>
        <v>4</v>
      </c>
      <c r="AE107" s="141" t="s">
        <v>103</v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n">
        <f aca="false">IF(H107="x",AL$4,"")</f>
        <v>1</v>
      </c>
      <c r="AM107" s="48" t="str">
        <f aca="false">IF(I107="x",AM$4,"")</f>
        <v/>
      </c>
      <c r="AN107" s="48" t="n">
        <f aca="false">IF(J107="x",AN$4,"")</f>
        <v>3</v>
      </c>
      <c r="AO107" s="2"/>
      <c r="AP107" s="48" t="n">
        <f aca="false">COUNTIF(G107:J107,"=x")</f>
        <v>2</v>
      </c>
      <c r="AQ107" s="48" t="n">
        <f aca="false">IF(AP107&gt;0,AVERAGE(AK107:AN107),"")</f>
        <v>2</v>
      </c>
      <c r="AR107" s="48" t="n">
        <f aca="false">IF(AND(AP107&gt;0,U107=1),AQ107*R107,"")</f>
        <v>4</v>
      </c>
      <c r="AS107" s="2"/>
      <c r="AT107" s="48" t="n">
        <f aca="false">AI107*3</f>
        <v>6</v>
      </c>
      <c r="AV107" s="54"/>
      <c r="AW107" s="54"/>
    </row>
    <row r="108" customFormat="false" ht="12.8" hidden="false" customHeight="false" outlineLevel="0" collapsed="false">
      <c r="B108" s="22"/>
      <c r="C108" s="55" t="s">
        <v>104</v>
      </c>
      <c r="D108" s="56"/>
      <c r="E108" s="137"/>
      <c r="F108" s="34"/>
      <c r="G108" s="41"/>
      <c r="H108" s="58"/>
      <c r="I108" s="42"/>
      <c r="J108" s="41" t="s">
        <v>22</v>
      </c>
      <c r="K108" s="35"/>
      <c r="L108" s="35"/>
      <c r="M108" s="44" t="str">
        <f aca="false">IF(AND(U108=1,N108="",AR108&gt;0,AR108&lt;&gt;""),"TODO !","")</f>
        <v/>
      </c>
      <c r="N108" s="140" t="n">
        <v>233</v>
      </c>
      <c r="O108" s="61" t="s">
        <v>27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n">
        <f aca="false">IF(U108=1,AR108,"")</f>
        <v>6</v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n">
        <f aca="false">IF(J108="x",AN$4,"")</f>
        <v>3</v>
      </c>
      <c r="AO108" s="2"/>
      <c r="AP108" s="48" t="n">
        <f aca="false">COUNTIF(G108:J108,"=x")</f>
        <v>1</v>
      </c>
      <c r="AQ108" s="48" t="n">
        <f aca="false">IF(AP108&gt;0,AVERAGE(AK108:AN108),"")</f>
        <v>3</v>
      </c>
      <c r="AR108" s="48" t="n">
        <f aca="false">IF(AND(AP108&gt;0,U108=1),AQ108*R108,"")</f>
        <v>6</v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2.8" hidden="false" customHeight="false" outlineLevel="0" collapsed="false">
      <c r="B111" s="99" t="s">
        <v>105</v>
      </c>
      <c r="C111" s="38" t="s">
        <v>106</v>
      </c>
      <c r="D111" s="39"/>
      <c r="E111" s="92"/>
      <c r="F111" s="34"/>
      <c r="G111" s="41"/>
      <c r="H111" s="142"/>
      <c r="I111" s="42"/>
      <c r="J111" s="41"/>
      <c r="K111" s="43"/>
      <c r="L111" s="43"/>
      <c r="M111" s="44" t="str">
        <f aca="false">IF(AND(U111=1,N111="",AR111&gt;0,AR111&lt;&gt;""),"TODO !","")</f>
        <v/>
      </c>
      <c r="N111" s="140"/>
      <c r="O111" s="61" t="s">
        <v>27</v>
      </c>
      <c r="P111" s="43" t="s">
        <v>107</v>
      </c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2"/>
      <c r="AB111" s="2"/>
      <c r="AC111" s="2"/>
      <c r="AD111" s="2"/>
      <c r="AE111" s="141"/>
      <c r="AG111" s="53" t="s">
        <v>108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30</v>
      </c>
      <c r="AW111" s="54" t="n">
        <f aca="false">SUM(AT111:AT114)</f>
        <v>36</v>
      </c>
    </row>
    <row r="112" customFormat="false" ht="12.8" hidden="false" customHeight="false" outlineLevel="0" collapsed="false">
      <c r="B112" s="99"/>
      <c r="C112" s="82" t="s">
        <v>109</v>
      </c>
      <c r="D112" s="34"/>
      <c r="E112" s="93"/>
      <c r="F112" s="34"/>
      <c r="G112" s="41"/>
      <c r="H112" s="142"/>
      <c r="I112" s="42"/>
      <c r="J112" s="41" t="s">
        <v>22</v>
      </c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n">
        <f aca="false">IF(U112=1,AR112,"")</f>
        <v>15</v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n">
        <f aca="false">IF(J112="x",AN$4,"")</f>
        <v>3</v>
      </c>
      <c r="AO112" s="2"/>
      <c r="AP112" s="48" t="n">
        <f aca="false">COUNTIF(G112:J112,"=x")</f>
        <v>1</v>
      </c>
      <c r="AQ112" s="48" t="n">
        <f aca="false">IF(AP112&gt;0,AVERAGE(AK112:AN112),"")</f>
        <v>3</v>
      </c>
      <c r="AR112" s="48" t="n">
        <f aca="false">IF(AND(AP112&gt;0,U112=1),AQ112*R112,"")</f>
        <v>15</v>
      </c>
      <c r="AS112" s="2"/>
      <c r="AT112" s="48" t="n">
        <f aca="false">AI112*3</f>
        <v>15</v>
      </c>
      <c r="AV112" s="54"/>
      <c r="AW112" s="54"/>
    </row>
    <row r="113" customFormat="false" ht="12.8" hidden="false" customHeight="false" outlineLevel="0" collapsed="false">
      <c r="B113" s="99"/>
      <c r="C113" s="82" t="s">
        <v>110</v>
      </c>
      <c r="D113" s="34"/>
      <c r="E113" s="93"/>
      <c r="F113" s="34"/>
      <c r="G113" s="41"/>
      <c r="H113" s="142"/>
      <c r="I113" s="42"/>
      <c r="J113" s="41" t="s">
        <v>22</v>
      </c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n">
        <f aca="false">IF(U113=1,AR113,"")</f>
        <v>9</v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n">
        <f aca="false">IF(J113="x",AN$4,"")</f>
        <v>3</v>
      </c>
      <c r="AO113" s="2"/>
      <c r="AP113" s="48" t="n">
        <f aca="false">COUNTIF(G113:J113,"=x")</f>
        <v>1</v>
      </c>
      <c r="AQ113" s="48" t="n">
        <f aca="false">IF(AP113&gt;0,AVERAGE(AK113:AN113),"")</f>
        <v>3</v>
      </c>
      <c r="AR113" s="48" t="n">
        <f aca="false">IF(AND(AP113&gt;0,U113=1),AQ113*R113,"")</f>
        <v>9</v>
      </c>
      <c r="AS113" s="2"/>
      <c r="AT113" s="48" t="n">
        <f aca="false">AI113*3</f>
        <v>9</v>
      </c>
      <c r="AV113" s="54"/>
      <c r="AW113" s="54"/>
    </row>
    <row r="114" customFormat="false" ht="12.8" hidden="false" customHeight="false" outlineLevel="0" collapsed="false">
      <c r="B114" s="99"/>
      <c r="C114" s="55" t="s">
        <v>111</v>
      </c>
      <c r="D114" s="56"/>
      <c r="E114" s="97"/>
      <c r="F114" s="34"/>
      <c r="G114" s="143"/>
      <c r="H114" s="144"/>
      <c r="I114" s="143"/>
      <c r="J114" s="143" t="s">
        <v>22</v>
      </c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n">
        <f aca="false">IF(U114=1,AR114,"")</f>
        <v>6</v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n">
        <f aca="false">IF(J114="x",AN$4,"")</f>
        <v>3</v>
      </c>
      <c r="AO114" s="2"/>
      <c r="AP114" s="48" t="n">
        <f aca="false">COUNTIF(G114:J114,"=x")</f>
        <v>1</v>
      </c>
      <c r="AQ114" s="48" t="n">
        <f aca="false">IF(AP114&gt;0,AVERAGE(AK114:AN114),"")</f>
        <v>3</v>
      </c>
      <c r="AR114" s="48" t="n">
        <f aca="false">IF(AND(AP114&gt;0,U114=1),AQ114*R114,"")</f>
        <v>6</v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112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113</v>
      </c>
      <c r="C117" s="146"/>
      <c r="D117" s="147"/>
      <c r="E117" s="148" t="s">
        <v>114</v>
      </c>
      <c r="G117" s="29" t="s">
        <v>115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116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117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118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119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120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121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122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123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124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125</v>
      </c>
      <c r="E127" s="161"/>
      <c r="G127" s="162" t="n">
        <f aca="false">ROUND(AT132,1)</f>
        <v>5.9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480</v>
      </c>
      <c r="Z127" s="166" t="s">
        <v>126</v>
      </c>
      <c r="AA127" s="167" t="n">
        <f aca="false">AT127</f>
        <v>490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480</v>
      </c>
      <c r="AT127" s="166" t="n">
        <f aca="false">SUM(AT6:AT124)</f>
        <v>490</v>
      </c>
      <c r="AV127" s="168" t="n">
        <f aca="false">SUM(AV6:AV124)</f>
        <v>480</v>
      </c>
      <c r="AW127" s="168" t="n">
        <f aca="false">SUM(AW6:AW124)</f>
        <v>490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127</v>
      </c>
      <c r="AS128" s="2"/>
      <c r="AT128" s="32" t="s">
        <v>128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129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130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131</v>
      </c>
      <c r="Z132" s="175"/>
      <c r="AA132" s="175"/>
      <c r="AB132" s="175"/>
      <c r="AE132" s="176" t="s">
        <v>132</v>
      </c>
      <c r="AF132" s="5"/>
      <c r="AG132" s="5"/>
      <c r="AT132" s="177" t="n">
        <f aca="false">(AT136*AR127)+AT135</f>
        <v>5.89795918367349</v>
      </c>
    </row>
    <row r="133" customFormat="false" ht="13.5" hidden="false" customHeight="true" outlineLevel="0" collapsed="false">
      <c r="M133" s="8" t="s">
        <v>133</v>
      </c>
      <c r="N133" s="8"/>
      <c r="O133" s="8"/>
      <c r="P133" s="8"/>
      <c r="S133" s="8" t="s">
        <v>134</v>
      </c>
      <c r="T133" s="8"/>
      <c r="U133" s="8"/>
      <c r="V133" s="8"/>
      <c r="Y133" s="8" t="s">
        <v>135</v>
      </c>
      <c r="Z133" s="8"/>
      <c r="AA133" s="8"/>
      <c r="AB133" s="8"/>
      <c r="AT133" s="32" t="s">
        <v>125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136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137</v>
      </c>
      <c r="C136" s="40" t="s">
        <v>138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5.9</v>
      </c>
      <c r="T136" s="162"/>
      <c r="U136" s="162"/>
      <c r="V136" s="162"/>
      <c r="Y136" s="182" t="n">
        <f aca="false">MAX(1,MIN(S136,6))</f>
        <v>5.9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139</v>
      </c>
      <c r="AS136" s="186"/>
      <c r="AT136" s="187" t="n">
        <f aca="false">5/AT127</f>
        <v>0.0102040816326531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140</v>
      </c>
      <c r="C137" s="189" t="s">
        <v>141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142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143</v>
      </c>
      <c r="C138" s="192" t="s">
        <v>144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145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146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137</v>
      </c>
      <c r="C142" s="40" t="s">
        <v>138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5.9</v>
      </c>
      <c r="T142" s="162"/>
      <c r="U142" s="162"/>
      <c r="V142" s="162"/>
      <c r="Y142" s="182" t="n">
        <f aca="false">MAX(1,MIN(S142,6))</f>
        <v>5.9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140</v>
      </c>
      <c r="C143" s="189" t="s">
        <v>147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143</v>
      </c>
      <c r="C144" s="192" t="s">
        <v>148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146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149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137</v>
      </c>
      <c r="C148" s="40" t="s">
        <v>150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5.9</v>
      </c>
      <c r="T148" s="162"/>
      <c r="U148" s="162"/>
      <c r="V148" s="162"/>
      <c r="Y148" s="182" t="n">
        <f aca="false">MAX(1,MIN(S148,6))</f>
        <v>5.9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140</v>
      </c>
      <c r="C149" s="189" t="s">
        <v>150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143</v>
      </c>
      <c r="C150" s="189" t="s">
        <v>150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146</v>
      </c>
      <c r="C151" s="195" t="s">
        <v>150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149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151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146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152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153</v>
      </c>
      <c r="O156" s="34"/>
      <c r="P156" s="93"/>
      <c r="Q156" s="21" t="s">
        <v>154</v>
      </c>
    </row>
    <row r="157" customFormat="false" ht="13.2" hidden="false" customHeight="false" outlineLevel="0" collapsed="false">
      <c r="M157" s="82"/>
      <c r="N157" s="34" t="s">
        <v>155</v>
      </c>
      <c r="O157" s="34"/>
      <c r="P157" s="93"/>
      <c r="Q157" s="21" t="s">
        <v>156</v>
      </c>
    </row>
    <row r="158" customFormat="false" ht="13.2" hidden="false" customHeight="false" outlineLevel="0" collapsed="false">
      <c r="M158" s="82" t="s">
        <v>157</v>
      </c>
      <c r="N158" s="34"/>
      <c r="O158" s="34"/>
      <c r="P158" s="93"/>
      <c r="Q158" s="21" t="s">
        <v>156</v>
      </c>
    </row>
    <row r="159" customFormat="false" ht="13.2" hidden="false" customHeight="false" outlineLevel="0" collapsed="false">
      <c r="M159" s="82" t="s">
        <v>158</v>
      </c>
      <c r="N159" s="34"/>
      <c r="O159" s="34"/>
      <c r="P159" s="93"/>
      <c r="Q159" s="21" t="s">
        <v>154</v>
      </c>
    </row>
    <row r="160" customFormat="false" ht="13.2" hidden="false" customHeight="false" outlineLevel="0" collapsed="false">
      <c r="M160" s="82" t="s">
        <v>159</v>
      </c>
      <c r="P160" s="96"/>
      <c r="Q160" s="21" t="s">
        <v>154</v>
      </c>
    </row>
    <row r="161" customFormat="false" ht="13.2" hidden="false" customHeight="false" outlineLevel="0" collapsed="false">
      <c r="M161" s="55" t="s">
        <v>160</v>
      </c>
      <c r="N161" s="132"/>
      <c r="O161" s="132"/>
      <c r="P161" s="199"/>
      <c r="Q161" s="21" t="s">
        <v>156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0"/>
  </conditionalFormatting>
  <conditionalFormatting sqref="M140:P140">
    <cfRule type="cellIs" priority="4" operator="equal" aboveAverage="0" equalAverage="0" bottom="0" percent="0" rank="0" text="" dxfId="0">
      <formula>"max 0.5"</formula>
    </cfRule>
  </conditionalFormatting>
  <conditionalFormatting sqref="M146:P146">
    <cfRule type="cellIs" priority="5" operator="equal" aboveAverage="0" equalAverage="0" bottom="0" percent="0" rank="0" text="" dxfId="0">
      <formula>"max 0.5"</formula>
    </cfRule>
  </conditionalFormatting>
  <conditionalFormatting sqref="M152:P152">
    <cfRule type="cellIs" priority="6" operator="equal" aboveAverage="0" equalAverage="0" bottom="0" percent="0" rank="0" text="" dxfId="0">
      <formula>"max 0.5"</formula>
    </cfRule>
  </conditionalFormatting>
  <conditionalFormatting sqref="P11:P12">
    <cfRule type="cellIs" priority="7" operator="lessThan" aboveAverage="0" equalAverage="0" bottom="0" percent="0" rank="0" text="" dxfId="1">
      <formula>1</formula>
    </cfRule>
  </conditionalFormatting>
  <conditionalFormatting sqref="P21:P24">
    <cfRule type="cellIs" priority="8" operator="lessThan" aboveAverage="0" equalAverage="0" bottom="0" percent="0" rank="0" text="" dxfId="1">
      <formula>1</formula>
    </cfRule>
    <cfRule type="cellIs" priority="9" operator="lessThan" aboveAverage="0" equalAverage="0" bottom="0" percent="0" rank="0" text="" dxfId="2">
      <formula>0.5</formula>
    </cfRule>
    <cfRule type="cellIs" priority="10" operator="lessThan" aboveAverage="0" equalAverage="0" bottom="0" percent="0" rank="0" text="" dxfId="2">
      <formula>1</formula>
    </cfRule>
  </conditionalFormatting>
  <conditionalFormatting sqref="P48:P49">
    <cfRule type="cellIs" priority="11" operator="lessThan" aboveAverage="0" equalAverage="0" bottom="0" percent="0" rank="0" text="" dxfId="2">
      <formula>1</formula>
    </cfRule>
  </conditionalFormatting>
  <conditionalFormatting sqref="P52:P53">
    <cfRule type="cellIs" priority="12" operator="lessThan" aboveAverage="0" equalAverage="0" bottom="0" percent="0" rank="0" text="" dxfId="2">
      <formula>1</formula>
    </cfRule>
  </conditionalFormatting>
  <conditionalFormatting sqref="P57:P58">
    <cfRule type="cellIs" priority="13" operator="lessThan" aboveAverage="0" equalAverage="0" bottom="0" percent="0" rank="0" text="" dxfId="2">
      <formula>1</formula>
    </cfRule>
  </conditionalFormatting>
  <conditionalFormatting sqref="P61:P62">
    <cfRule type="cellIs" priority="14" operator="lessThan" aboveAverage="0" equalAverage="0" bottom="0" percent="0" rank="0" text="" dxfId="3">
      <formula>1</formula>
    </cfRule>
  </conditionalFormatting>
  <conditionalFormatting sqref="P85:P86">
    <cfRule type="cellIs" priority="15" operator="lessThan" aboveAverage="0" equalAverage="0" bottom="0" percent="0" rank="0" text="" dxfId="3">
      <formula>1</formula>
    </cfRule>
  </conditionalFormatting>
  <conditionalFormatting sqref="P93:P100">
    <cfRule type="cellIs" priority="16" operator="lessThan" aboveAverage="0" equalAverage="0" bottom="0" percent="0" rank="0" text="" dxfId="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4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4"/>
  </conditionalFormatting>
  <conditionalFormatting sqref="AI3:AI4">
    <cfRule type="cellIs" priority="19" operator="equal" aboveAverage="0" equalAverage="0" bottom="0" percent="0" rank="0" text="" dxfId="5">
      <formula>1</formula>
    </cfRule>
  </conditionalFormatting>
  <conditionalFormatting sqref="AK4:AT4 AR137">
    <cfRule type="cellIs" priority="20" operator="equal" aboveAverage="0" equalAverage="0" bottom="0" percent="0" rank="0" text="" dxfId="6">
      <formula>1</formula>
    </cfRule>
  </conditionalFormatting>
  <conditionalFormatting sqref="AV4:AW4">
    <cfRule type="cellIs" priority="21" operator="equal" aboveAverage="0" equalAverage="0" bottom="0" percent="0" rank="0" text="" dxfId="7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128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161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162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37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37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e">
        <f aca="false">IF(Y84&lt;&gt;ByStudent!Y84,Y84-ByStudent!Y84,0)</f>
        <v>#VALUE!</v>
      </c>
      <c r="AD84" s="50"/>
      <c r="AE84" s="74"/>
      <c r="AF84" s="0" t="e">
        <f aca="false">IF(AND(AC84&lt;0,AE84=""),"TODO !","")</f>
        <v>#VALUE!</v>
      </c>
      <c r="AG84" s="53" t="s">
        <v>77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e">
        <f aca="false">IF(Y85&lt;&gt;ByStudent!Y85,Y85-ByStudent!Y85,0)</f>
        <v>#VALUE!</v>
      </c>
      <c r="AD85" s="50"/>
      <c r="AE85" s="74"/>
      <c r="AF85" s="0" t="e">
        <f aca="false">IF(AND(AC85&lt;0,AE85=""),"TODO !","")</f>
        <v>#VALUE!</v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e">
        <f aca="false">IF(Y86&lt;&gt;ByStudent!Y86,Y86-ByStudent!Y86,0)</f>
        <v>#VALUE!</v>
      </c>
      <c r="AD86" s="50"/>
      <c r="AE86" s="74"/>
      <c r="AF86" s="0" t="e">
        <f aca="false">IF(AND(AC86&lt;0,AE86=""),"TODO !","")</f>
        <v>#VALUE!</v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e">
        <f aca="false">IF(Y88&lt;&gt;ByStudent!Y88,Y88-ByStudent!Y88,0)</f>
        <v>#VALUE!</v>
      </c>
      <c r="AD88" s="50"/>
      <c r="AE88" s="74"/>
      <c r="AF88" s="0" t="e">
        <f aca="false">IF(AND(AC88&lt;0,AE88=""),"TODO !","")</f>
        <v>#VALUE!</v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e">
        <f aca="false">IF(Y89&lt;&gt;ByStudent!Y89,Y89-ByStudent!Y89,0)</f>
        <v>#VALUE!</v>
      </c>
      <c r="AD89" s="50"/>
      <c r="AE89" s="74"/>
      <c r="AF89" s="0" t="e">
        <f aca="false">IF(AND(AC89&lt;0,AE89=""),"TODO !","")</f>
        <v>#VALUE!</v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e">
        <f aca="false">IF(Y90&lt;&gt;ByStudent!Y90,Y90-ByStudent!Y90,0)</f>
        <v>#VALUE!</v>
      </c>
      <c r="AD90" s="50"/>
      <c r="AE90" s="74"/>
      <c r="AF90" s="0" t="e">
        <f aca="false">IF(AND(AC90&lt;0,AE90=""),"TODO !","")</f>
        <v>#VALUE!</v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e">
        <f aca="false">IF(Y93&lt;&gt;ByStudent!Y93,Y93-ByStudent!Y93,0)</f>
        <v>#VALUE!</v>
      </c>
      <c r="AD93" s="50"/>
      <c r="AE93" s="74"/>
      <c r="AF93" s="0" t="e">
        <f aca="false">IF(AND(AC93&lt;0,AE93=""),"TODO !","")</f>
        <v>#VALUE!</v>
      </c>
      <c r="AG93" s="53" t="s">
        <v>86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87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e">
        <f aca="false">IF(Y94&lt;&gt;ByStudent!Y94,Y94-ByStudent!Y94,0)</f>
        <v>#VALUE!</v>
      </c>
      <c r="AD94" s="50"/>
      <c r="AE94" s="74"/>
      <c r="AF94" s="0" t="e">
        <f aca="false">IF(AND(AC94&lt;0,AE94=""),"TODO !","")</f>
        <v>#VALUE!</v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84</v>
      </c>
      <c r="D95" s="34" t="s">
        <v>30</v>
      </c>
      <c r="E95" s="93" t="s">
        <v>85</v>
      </c>
      <c r="F95" s="3" t="s">
        <v>34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e">
        <f aca="false">IF(Y95&lt;&gt;ByStudent!Y95,Y95-ByStudent!Y95,0)</f>
        <v>#VALUE!</v>
      </c>
      <c r="AD95" s="50"/>
      <c r="AE95" s="74"/>
      <c r="AF95" s="0" t="e">
        <f aca="false">IF(AND(AC95&lt;0,AE95=""),"TODO !","")</f>
        <v>#VALUE!</v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87</v>
      </c>
      <c r="F96" s="3" t="s">
        <v>34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e">
        <f aca="false">IF(Y96&lt;&gt;ByStudent!Y96,Y96-ByStudent!Y96,0)</f>
        <v>#VALUE!</v>
      </c>
      <c r="AD96" s="50"/>
      <c r="AE96" s="74"/>
      <c r="AF96" s="0" t="e">
        <f aca="false">IF(AND(AC96&lt;0,AE96=""),"TODO !","")</f>
        <v>#VALUE!</v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e">
        <f aca="false">IF(Y97&lt;&gt;ByStudent!Y97,Y97-ByStudent!Y97,0)</f>
        <v>#VALUE!</v>
      </c>
      <c r="AD97" s="50"/>
      <c r="AE97" s="74"/>
      <c r="AF97" s="0" t="e">
        <f aca="false">IF(AND(AC97&lt;0,AE97=""),"TODO !","")</f>
        <v>#VALUE!</v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87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e">
        <f aca="false">IF(Y98&lt;&gt;ByStudent!Y98,Y98-ByStudent!Y98,0)</f>
        <v>#VALUE!</v>
      </c>
      <c r="AD98" s="50"/>
      <c r="AE98" s="74"/>
      <c r="AF98" s="0" t="e">
        <f aca="false">IF(AND(AC98&lt;0,AE98=""),"TODO !","")</f>
        <v>#VALUE!</v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84</v>
      </c>
      <c r="D99" s="34" t="s">
        <v>89</v>
      </c>
      <c r="E99" s="93" t="s">
        <v>85</v>
      </c>
      <c r="F99" s="3" t="s">
        <v>55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e">
        <f aca="false">IF(Y99&lt;&gt;ByStudent!Y99,Y99-ByStudent!Y99,0)</f>
        <v>#VALUE!</v>
      </c>
      <c r="AD99" s="50"/>
      <c r="AE99" s="74"/>
      <c r="AF99" s="0" t="e">
        <f aca="false">IF(AND(AC99&lt;0,AE99=""),"TODO !","")</f>
        <v>#VALUE!</v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e">
        <f aca="false">IF(Y100&lt;&gt;ByStudent!Y100,Y100-ByStudent!Y100,0)</f>
        <v>#VALUE!</v>
      </c>
      <c r="AD100" s="50"/>
      <c r="AE100" s="74"/>
      <c r="AF100" s="0" t="e">
        <f aca="false">IF(AND(AC100&lt;0,AE100=""),"TODO !","")</f>
        <v>#VALUE!</v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92</v>
      </c>
      <c r="C103" s="38" t="s">
        <v>93</v>
      </c>
      <c r="D103" s="39"/>
      <c r="E103" s="137" t="s">
        <v>94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e">
        <f aca="false">IF(Y103&lt;&gt;ByStudent!Y103,Y103-ByStudent!Y103,0)</f>
        <v>#VALUE!</v>
      </c>
      <c r="AE103" s="74"/>
      <c r="AF103" s="0" t="e">
        <f aca="false">IF(AND(AC103&lt;0,AE103=""),"TODO !","")</f>
        <v>#VALUE!</v>
      </c>
      <c r="AG103" s="53" t="s">
        <v>96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97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99</v>
      </c>
      <c r="E105" s="137" t="s">
        <v>100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e">
        <f aca="false">IF(Y105&lt;&gt;ByStudent!Y105,Y105-ByStudent!Y105,0)</f>
        <v>#VALUE!</v>
      </c>
      <c r="AE105" s="208"/>
      <c r="AF105" s="0" t="e">
        <f aca="false">IF(AND(AC105&lt;0,AE105=""),"TODO !","")</f>
        <v>#VALUE!</v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101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102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e">
        <f aca="false">IF(Y107&lt;&gt;ByStudent!Y107,Y107-ByStudent!Y107,0)</f>
        <v>#VALUE!</v>
      </c>
      <c r="AE107" s="208"/>
      <c r="AF107" s="0" t="e">
        <f aca="false">IF(AND(AC107&lt;0,AE107=""),"TODO !","")</f>
        <v>#VALUE!</v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104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e">
        <f aca="false">IF(Y108&lt;&gt;ByStudent!Y108,Y108-ByStudent!Y108,0)</f>
        <v>#VALUE!</v>
      </c>
      <c r="AE108" s="208"/>
      <c r="AF108" s="0" t="e">
        <f aca="false">IF(AND(AC108&lt;0,AE108=""),"TODO !","")</f>
        <v>#VALUE!</v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105</v>
      </c>
      <c r="C111" s="38" t="s">
        <v>106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n">
        <f aca="false">IF(Y111&lt;&gt;ByStudent!Y111,Y111-ByStudent!Y111,0)</f>
        <v>0</v>
      </c>
      <c r="AD111" s="2"/>
      <c r="AE111" s="208"/>
      <c r="AF111" s="0" t="str">
        <f aca="false">IF(AND(AC111&lt;0,AE111=""),"TODO !","")</f>
        <v/>
      </c>
      <c r="AG111" s="53" t="s">
        <v>108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109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e">
        <f aca="false">IF(Y112&lt;&gt;ByStudent!Y112,Y112-ByStudent!Y112,0)</f>
        <v>#VALUE!</v>
      </c>
      <c r="AD112" s="2"/>
      <c r="AE112" s="208"/>
      <c r="AF112" s="0" t="e">
        <f aca="false">IF(AND(AC112&lt;0,AE112=""),"TODO !","")</f>
        <v>#VALUE!</v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110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e">
        <f aca="false">IF(Y113&lt;&gt;ByStudent!Y113,Y113-ByStudent!Y113,0)</f>
        <v>#VALUE!</v>
      </c>
      <c r="AD113" s="2"/>
      <c r="AE113" s="208"/>
      <c r="AF113" s="0" t="e">
        <f aca="false">IF(AND(AC113&lt;0,AE113=""),"TODO !","")</f>
        <v>#VALUE!</v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111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e">
        <f aca="false">IF(Y114&lt;&gt;ByStudent!Y114,Y114-ByStudent!Y114,0)</f>
        <v>#VALUE!</v>
      </c>
      <c r="AE114" s="208"/>
      <c r="AF114" s="0" t="e">
        <f aca="false">IF(AND(AC114&lt;0,AE114=""),"TODO !","")</f>
        <v>#VALUE!</v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112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113</v>
      </c>
      <c r="C117" s="146"/>
      <c r="D117" s="147"/>
      <c r="E117" s="148" t="s">
        <v>114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116</v>
      </c>
      <c r="AH117" s="2"/>
      <c r="AI117" s="48" t="n">
        <f aca="false">U117*V117*R117</f>
        <v>0.5</v>
      </c>
      <c r="AJ117" s="2"/>
      <c r="AK117" s="152" t="s">
        <v>163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117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118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119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120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121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122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123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124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164</v>
      </c>
      <c r="AC126" s="212" t="s">
        <v>164</v>
      </c>
    </row>
    <row r="127" customFormat="false" ht="24" hidden="false" customHeight="false" outlineLevel="0" collapsed="false">
      <c r="D127" s="161" t="s">
        <v>125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-4.9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126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127</v>
      </c>
      <c r="AS128" s="2"/>
      <c r="AT128" s="32" t="s">
        <v>128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129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130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131</v>
      </c>
      <c r="Z132" s="175"/>
      <c r="AA132" s="175"/>
      <c r="AB132" s="175"/>
      <c r="AE132" s="176" t="s">
        <v>132</v>
      </c>
      <c r="AF132" s="5"/>
      <c r="AG132" s="5"/>
      <c r="AI132" s="212" t="s">
        <v>164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133</v>
      </c>
      <c r="N133" s="8"/>
      <c r="O133" s="8"/>
      <c r="P133" s="8"/>
      <c r="S133" s="8" t="s">
        <v>134</v>
      </c>
      <c r="T133" s="8"/>
      <c r="U133" s="8"/>
      <c r="V133" s="8"/>
      <c r="Y133" s="8" t="s">
        <v>135</v>
      </c>
      <c r="Z133" s="8"/>
      <c r="AA133" s="8"/>
      <c r="AB133" s="8"/>
      <c r="AT133" s="32" t="s">
        <v>125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136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137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-4.9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139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140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142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143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145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146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137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-4.9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140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143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146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149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137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-4.9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140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143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146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149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151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146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152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153</v>
      </c>
      <c r="O156" s="34"/>
      <c r="P156" s="93"/>
      <c r="Q156" s="21" t="s">
        <v>154</v>
      </c>
    </row>
    <row r="157" customFormat="false" ht="13.2" hidden="false" customHeight="false" outlineLevel="0" collapsed="false">
      <c r="M157" s="82"/>
      <c r="N157" s="34" t="s">
        <v>155</v>
      </c>
      <c r="O157" s="34"/>
      <c r="P157" s="93"/>
      <c r="Q157" s="21" t="s">
        <v>156</v>
      </c>
    </row>
    <row r="158" customFormat="false" ht="13.2" hidden="false" customHeight="false" outlineLevel="0" collapsed="false">
      <c r="M158" s="82" t="s">
        <v>157</v>
      </c>
      <c r="N158" s="34"/>
      <c r="O158" s="34"/>
      <c r="P158" s="93"/>
      <c r="Q158" s="21" t="s">
        <v>156</v>
      </c>
    </row>
    <row r="159" customFormat="false" ht="13.2" hidden="false" customHeight="false" outlineLevel="0" collapsed="false">
      <c r="M159" s="82" t="s">
        <v>158</v>
      </c>
      <c r="N159" s="34"/>
      <c r="O159" s="34"/>
      <c r="P159" s="93"/>
      <c r="Q159" s="21" t="s">
        <v>154</v>
      </c>
    </row>
    <row r="160" customFormat="false" ht="13.2" hidden="false" customHeight="false" outlineLevel="0" collapsed="false">
      <c r="M160" s="82" t="s">
        <v>159</v>
      </c>
      <c r="P160" s="96"/>
      <c r="Q160" s="21" t="s">
        <v>154</v>
      </c>
    </row>
    <row r="161" customFormat="false" ht="13.2" hidden="false" customHeight="false" outlineLevel="0" collapsed="false">
      <c r="M161" s="55" t="s">
        <v>160</v>
      </c>
      <c r="N161" s="132"/>
      <c r="O161" s="132"/>
      <c r="P161" s="199"/>
      <c r="Q161" s="21" t="s">
        <v>156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0">
      <formula>0</formula>
    </cfRule>
    <cfRule type="cellIs" priority="4" operator="greaterThan" aboveAverage="0" equalAverage="0" bottom="0" percent="0" rank="0" text="" dxfId="0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0"/>
  </conditionalFormatting>
  <conditionalFormatting sqref="M140:P140">
    <cfRule type="cellIs" priority="6" operator="equal" aboveAverage="0" equalAverage="0" bottom="0" percent="0" rank="0" text="" dxfId="0">
      <formula>"max 0.5"</formula>
    </cfRule>
  </conditionalFormatting>
  <conditionalFormatting sqref="M146:P146">
    <cfRule type="cellIs" priority="7" operator="equal" aboveAverage="0" equalAverage="0" bottom="0" percent="0" rank="0" text="" dxfId="1">
      <formula>"max 0.5"</formula>
    </cfRule>
  </conditionalFormatting>
  <conditionalFormatting sqref="M152:P152">
    <cfRule type="cellIs" priority="8" operator="equal" aboveAverage="0" equalAverage="0" bottom="0" percent="0" rank="0" text="" dxfId="1">
      <formula>"max 0.5"</formula>
    </cfRule>
  </conditionalFormatting>
  <conditionalFormatting sqref="AC6:AC124">
    <cfRule type="cellIs" priority="9" operator="lessThan" aboveAverage="0" equalAverage="0" bottom="0" percent="0" rank="0" text="" dxfId="2">
      <formula>0</formula>
    </cfRule>
    <cfRule type="cellIs" priority="10" operator="greaterThan" aboveAverage="0" equalAverage="0" bottom="0" percent="0" rank="0" text="" dxfId="2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2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2"/>
  </conditionalFormatting>
  <conditionalFormatting sqref="AI3:AI4">
    <cfRule type="cellIs" priority="13" operator="equal" aboveAverage="0" equalAverage="0" bottom="0" percent="0" rank="0" text="" dxfId="2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3">
      <formula>0</formula>
    </cfRule>
    <cfRule type="cellIs" priority="15" operator="greaterThan" aboveAverage="0" equalAverage="0" bottom="0" percent="0" rank="0" text="" dxfId="3">
      <formula>0</formula>
    </cfRule>
  </conditionalFormatting>
  <conditionalFormatting sqref="AK4:AT4 AR137">
    <cfRule type="cellIs" priority="16" operator="equal" aboveAverage="0" equalAverage="0" bottom="0" percent="0" rank="0" text="" dxfId="4">
      <formula>1</formula>
    </cfRule>
  </conditionalFormatting>
  <conditionalFormatting sqref="AV4:AW4">
    <cfRule type="cellIs" priority="17" operator="equal" aboveAverage="0" equalAverage="0" bottom="0" percent="0" rank="0" text="" dxfId="4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61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2023-05-03T19:16:42Z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