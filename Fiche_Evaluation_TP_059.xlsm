
<file path=[Content_Types].xml><?xml version="1.0" encoding="utf-8"?>
<Types xmlns="http://schemas.openxmlformats.org/package/2006/content-types"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UserGuide" sheetId="1" state="visible" r:id="rId2"/>
    <sheet name="ByStudent" sheetId="2" state="visible" r:id="rId3"/>
    <sheet name="ByProf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<sst xmlns="http://schemas.openxmlformats.org/spreadsheetml/2006/main" count="625" uniqueCount="160">
  <si>
    <t xml:space="preserve">Performance
Your best score
Benchmarking
Without rendering</t>
  </si>
  <si>
    <r>
      <rPr>
        <b val="true"/>
        <sz val="18"/>
        <color rgb="FF000000"/>
        <rFont val="Arial"/>
        <family val="0"/>
        <charset val="1"/>
      </rPr>
      <t xml:space="preserve">AutoEvaluation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v60</t>
    </r>
  </si>
  <si>
    <t xml:space="preserve">Points</t>
  </si>
  <si>
    <t xml:space="preserve">Your
Speed up</t>
  </si>
  <si>
    <t xml:space="preserve">Poids(TP)</t>
  </si>
  <si>
    <t xml:space="preserve">Open</t>
  </si>
  <si>
    <t xml:space="preserve">Actif</t>
  </si>
  <si>
    <t xml:space="preserve">Score</t>
  </si>
  <si>
    <t xml:space="preserve">Corriger</t>
  </si>
  <si>
    <t xml:space="preserve">Delta Score</t>
  </si>
  <si>
    <t xml:space="preserve">Justificatifs
Obligatoires
(si TODO apparait)
(motivant une auto-évalutaion  2.5 ou 3)</t>
  </si>
  <si>
    <t xml:space="preserve">Calcul
Private</t>
  </si>
  <si>
    <t xml:space="preserve">Check</t>
  </si>
  <si>
    <t xml:space="preserve">Voir onglet userGuide</t>
  </si>
  <si>
    <t xml:space="preserve">score</t>
  </si>
  <si>
    <t xml:space="preserve">Poids Effectif</t>
  </si>
  <si>
    <t xml:space="preserve">#croix</t>
  </si>
  <si>
    <t xml:space="preserve">Mean</t>
  </si>
  <si>
    <t xml:space="preserve">Score (Ponderer)</t>
  </si>
  <si>
    <t xml:space="preserve">ScoreMax</t>
  </si>
  <si>
    <t xml:space="preserve">Rippling</t>
  </si>
  <si>
    <t xml:space="preserve">animation</t>
  </si>
  <si>
    <t xml:space="preserve">x</t>
  </si>
  <si>
    <t xml:space="preserve">[fps]</t>
  </si>
  <si>
    <t xml:space="preserve">RI</t>
  </si>
  <si>
    <t xml:space="preserve">Rippliing </t>
  </si>
  <si>
    <t xml:space="preserve">test</t>
  </si>
  <si>
    <t xml:space="preserve">[s]</t>
  </si>
  <si>
    <t xml:space="preserve">SpeedUP</t>
  </si>
  <si>
    <t xml:space="preserve">Mandelbrot
double / float / half</t>
  </si>
  <si>
    <t xml:space="preserve">Mandelbrot</t>
  </si>
  <si>
    <t xml:space="preserve">double</t>
  </si>
  <si>
    <t xml:space="preserve">Image
Animation</t>
  </si>
  <si>
    <t xml:space="preserve">MANDEL</t>
  </si>
  <si>
    <t xml:space="preserve">float</t>
  </si>
  <si>
    <t xml:space="preserve">half</t>
  </si>
  <si>
    <t xml:space="preserve">Mandelbrot 3D</t>
  </si>
  <si>
    <t xml:space="preserve">Test</t>
  </si>
  <si>
    <t xml:space="preserve">Raytracing 
GM / SM / CM </t>
  </si>
  <si>
    <t xml:space="preserve">RayTracing_GM</t>
  </si>
  <si>
    <t xml:space="preserve">RAY</t>
  </si>
  <si>
    <t xml:space="preserve">RayTracing_CM</t>
  </si>
  <si>
    <t xml:space="preserve">RayTracing_GM_2_SM</t>
  </si>
  <si>
    <t xml:space="preserve">RayTracing_CM_2_SM</t>
  </si>
  <si>
    <t xml:space="preserve">max</t>
  </si>
  <si>
    <t xml:space="preserve">Ne passe pas les tests de performances</t>
  </si>
  <si>
    <t xml:space="preserve">Reduction 
Tools</t>
  </si>
  <si>
    <t xml:space="preserve">ReductionAdd</t>
  </si>
  <si>
    <t xml:space="preserve">int</t>
  </si>
  <si>
    <t xml:space="preserve">Use PI</t>
  </si>
  <si>
    <t xml:space="preserve">REDUCTION</t>
  </si>
  <si>
    <t xml:space="preserve">Use PII</t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</si>
  <si>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</t>
    </r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</si>
  <si>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PII</t>
    </r>
  </si>
  <si>
    <t xml:space="preserve">Reduction</t>
  </si>
  <si>
    <t xml:space="preserve">long</t>
  </si>
  <si>
    <t xml:space="preserve">Slice</t>
  </si>
  <si>
    <t xml:space="preserve">Slice_GM_host</t>
  </si>
  <si>
    <t xml:space="preserve">Use</t>
  </si>
  <si>
    <t xml:space="preserve">SLICE</t>
  </si>
  <si>
    <t xml:space="preserve">Slice_GM</t>
  </si>
  <si>
    <t xml:space="preserve">Slice_SM</t>
  </si>
  <si>
    <t xml:space="preserve">Montecarlo</t>
  </si>
  <si>
    <t xml:space="preserve">Montecarlo_Int</t>
  </si>
  <si>
    <t xml:space="preserve">[go/s]</t>
  </si>
  <si>
    <t xml:space="preserve">MONTECARLO</t>
  </si>
  <si>
    <t xml:space="preserve">MultiGPU</t>
  </si>
  <si>
    <t xml:space="preserve">stream</t>
  </si>
  <si>
    <t xml:space="preserve">Montecarlo_long</t>
  </si>
  <si>
    <t xml:space="preserve">Video</t>
  </si>
  <si>
    <t xml:space="preserve">Video GM</t>
  </si>
  <si>
    <t xml:space="preserve">VIDEO</t>
  </si>
  <si>
    <t xml:space="preserve">Video Texture GM</t>
  </si>
  <si>
    <t xml:space="preserve">Video Texture cuarray</t>
  </si>
  <si>
    <t xml:space="preserve">Video Surface</t>
  </si>
  <si>
    <t xml:space="preserve">VectorStream</t>
  </si>
  <si>
    <t xml:space="preserve">baseline</t>
  </si>
  <si>
    <t xml:space="preserve">Stream</t>
  </si>
  <si>
    <t xml:space="preserve">bi-stream</t>
  </si>
  <si>
    <t xml:space="preserve">tri-stream</t>
  </si>
  <si>
    <t xml:space="preserve">Warning : use même paramètre cuda code!</t>
  </si>
  <si>
    <t xml:space="preserve">Sans rendu</t>
  </si>
  <si>
    <t xml:space="preserve">SpeedUP Cuda</t>
  </si>
  <si>
    <t xml:space="preserve">Java</t>
  </si>
  <si>
    <t xml:space="preserve">Java </t>
  </si>
  <si>
    <t xml:space="preserve">sequentiel</t>
  </si>
  <si>
    <t xml:space="preserve">JAVA</t>
  </si>
  <si>
    <t xml:space="preserve">paralelle</t>
  </si>
  <si>
    <t xml:space="preserve">Raytracing</t>
  </si>
  <si>
    <t xml:space="preserve">Motecarlo</t>
  </si>
  <si>
    <t xml:space="preserve">All</t>
  </si>
  <si>
    <t xml:space="preserve">Demo Cube 3D</t>
  </si>
  <si>
    <t xml:space="preserve">fps 
raisonnable</t>
  </si>
  <si>
    <t xml:space="preserve">avec rendu</t>
  </si>
  <si>
    <t xml:space="preserve">ALL</t>
  </si>
  <si>
    <t xml:space="preserve">Demo Cube 3D video</t>
  </si>
  <si>
    <t xml:space="preserve">All Test ReductionTools</t>
  </si>
  <si>
    <t xml:space="preserve">durée
 raisonnable</t>
  </si>
  <si>
    <t xml:space="preserve">All Test Video</t>
  </si>
  <si>
    <t xml:space="preserve">All Test image</t>
  </si>
  <si>
    <t xml:space="preserve">All Test non image</t>
  </si>
  <si>
    <t xml:space="preserve">Managment</t>
  </si>
  <si>
    <t xml:space="preserve">Compilation Workspace</t>
  </si>
  <si>
    <t xml:space="preserve">MANA</t>
  </si>
  <si>
    <t xml:space="preserve">Delivrables (Forme, Contenu,Délais, ..,)</t>
  </si>
  <si>
    <t xml:space="preserve">Colonne Performance/SpeedUP</t>
  </si>
  <si>
    <t xml:space="preserve">Coherence performance</t>
  </si>
  <si>
    <t xml:space="preserve">Lisez la console de n'importe lequel de vos executables cuda</t>
  </si>
  <si>
    <t xml:space="preserve">Hardware</t>
  </si>
  <si>
    <t xml:space="preserve">GPU name</t>
  </si>
  <si>
    <t xml:space="preserve">Nvidia Geforce RTX 20180 Ti</t>
  </si>
  <si>
    <t xml:space="preserve">HARDWARE</t>
  </si>
  <si>
    <t xml:space="preserve">sm (capabilities, ex: 51 70 …)</t>
  </si>
  <si>
    <t xml:space="preserve">|GPU|</t>
  </si>
  <si>
    <t xml:space="preserve">|MP|</t>
  </si>
  <si>
    <t xml:space="preserve">|CORE|   by MP</t>
  </si>
  <si>
    <t xml:space="preserve">|GM| en GO</t>
  </si>
  <si>
    <t xml:space="preserve">|SM| en KO</t>
  </si>
  <si>
    <t xml:space="preserve">|CM| en KO</t>
  </si>
  <si>
    <t xml:space="preserve">Notation : |   |  = nombre de </t>
  </si>
  <si>
    <t xml:space="preserve">Score TP</t>
  </si>
  <si>
    <t xml:space="preserve"> / </t>
  </si>
  <si>
    <t xml:space="preserve">Score Effectif</t>
  </si>
  <si>
    <t xml:space="preserve">Score Max</t>
  </si>
  <si>
    <t xml:space="preserve">Identification (By Student)</t>
  </si>
  <si>
    <t xml:space="preserve">Bonus / Malus</t>
  </si>
  <si>
    <t xml:space="preserve">Note</t>
  </si>
  <si>
    <t xml:space="preserve">Bonus/Malus Commentaires</t>
  </si>
  <si>
    <t xml:space="preserve">max 0.5</t>
  </si>
  <si>
    <t xml:space="preserve">Final</t>
  </si>
  <si>
    <t xml:space="preserve">Estimation</t>
  </si>
  <si>
    <t xml:space="preserve">Translation</t>
  </si>
  <si>
    <t xml:space="preserve">Nom</t>
  </si>
  <si>
    <t xml:space="preserve">Mouchet</t>
  </si>
  <si>
    <t xml:space="preserve">Pente</t>
  </si>
  <si>
    <t xml:space="preserve">Prénom</t>
  </si>
  <si>
    <t xml:space="preserve">Guillaume</t>
  </si>
  <si>
    <t xml:space="preserve">[0,scoreMax] -&gt; [1,6]</t>
  </si>
  <si>
    <t xml:space="preserve">e-mail</t>
  </si>
  <si>
    <t xml:space="preserve">guillaume.mouchet@he-arc.ch</t>
  </si>
  <si>
    <t xml:space="preserve">pente = (6-1)/scoreMax</t>
  </si>
  <si>
    <t xml:space="preserve">Acompte Cuda</t>
  </si>
  <si>
    <t xml:space="preserve">Benjamin</t>
  </si>
  <si>
    <t xml:space="preserve">benjamin.mouchet@he-arc.ch</t>
  </si>
  <si>
    <t xml:space="preserve">Enlever todo si aucun étudiant</t>
  </si>
  <si>
    <t xml:space="preserve"> </t>
  </si>
  <si>
    <t xml:space="preserve">Rendu Unique</t>
  </si>
  <si>
    <t xml:space="preserve">Participation au sein du groupe:</t>
  </si>
  <si>
    <t xml:space="preserve"> - en retrait</t>
  </si>
  <si>
    <t xml:space="preserve"> -</t>
  </si>
  <si>
    <t xml:space="preserve"> - supérieur</t>
  </si>
  <si>
    <t xml:space="preserve"> +</t>
  </si>
  <si>
    <t xml:space="preserve">Intrevention constructive pendant cours</t>
  </si>
  <si>
    <t xml:space="preserve">Plagiat</t>
  </si>
  <si>
    <t xml:space="preserve">Sur auto -évaluation</t>
  </si>
  <si>
    <t xml:space="preserve">Passage projecteur</t>
  </si>
  <si>
    <r>
      <rPr>
        <b val="true"/>
        <sz val="18"/>
        <color rgb="FF000000"/>
        <rFont val="Arial"/>
        <family val="0"/>
        <charset val="1"/>
      </rPr>
      <t xml:space="preserve">Evaluation
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ByProf</t>
    </r>
  </si>
  <si>
    <t xml:space="preserve">Justificatifs
Obligatoires
(motivant une auto-évalutaion  2.5 ou 3)</t>
  </si>
  <si>
    <t xml:space="preserve">RTX 2080 Ti</t>
  </si>
  <si>
    <t xml:space="preserve">Delta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</si>
</sst>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# ??/??"/>
    <numFmt numFmtId="166" formatCode="0"/>
    <numFmt numFmtId="167" formatCode="0.0"/>
    <numFmt numFmtId="168" formatCode="0.00"/>
    <numFmt numFmtId="169" formatCode="0.000"/>
  </numFmts>
  <fonts count="46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8"/>
      <color rgb="FF000000"/>
      <name val="Calibri"/>
      <family val="0"/>
    </font>
    <font>
      <sz val="18"/>
      <name val="Times New Roman"/>
      <family val="0"/>
    </font>
    <font>
      <sz val="11"/>
      <color rgb="FF000000"/>
      <name val="Calibri"/>
      <family val="0"/>
    </font>
    <font>
      <sz val="11"/>
      <name val="Times New Roman"/>
      <family val="0"/>
    </font>
    <font>
      <b val="true"/>
      <u val="single"/>
      <sz val="11"/>
      <color rgb="FF000000"/>
      <name val="Calibri"/>
      <family val="0"/>
    </font>
    <font>
      <sz val="12"/>
      <color rgb="FF000000"/>
      <name val="Calibri"/>
      <family val="0"/>
    </font>
    <font>
      <sz val="12"/>
      <name val="Times New Roman"/>
      <family val="0"/>
    </font>
    <font>
      <b val="true"/>
      <sz val="12"/>
      <color rgb="FF000000"/>
      <name val="Calibri"/>
      <family val="0"/>
    </font>
    <font>
      <b val="true"/>
      <u val="single"/>
      <sz val="12"/>
      <color rgb="FF000000"/>
      <name val="Calibri"/>
      <family val="0"/>
    </font>
    <font>
      <u val="single"/>
      <sz val="12"/>
      <color rgb="FF000000"/>
      <name val="Calibri"/>
      <family val="0"/>
    </font>
    <font>
      <i val="true"/>
      <sz val="12"/>
      <color rgb="FF000000"/>
      <name val="Calibri"/>
      <family val="0"/>
    </font>
    <font>
      <i val="true"/>
      <sz val="8"/>
      <name val="Arial"/>
      <family val="2"/>
      <charset val="1"/>
    </font>
    <font>
      <sz val="10"/>
      <name val="Arial"/>
      <family val="2"/>
      <charset val="1"/>
    </font>
    <font>
      <b val="true"/>
      <sz val="18"/>
      <color rgb="FF000000"/>
      <name val="Arial"/>
      <family val="0"/>
      <charset val="1"/>
    </font>
    <font>
      <b val="true"/>
      <sz val="72"/>
      <color rgb="FFFF00FF"/>
      <name val="Arial"/>
      <family val="0"/>
      <charset val="1"/>
    </font>
    <font>
      <b val="true"/>
      <sz val="72"/>
      <color rgb="FFFF0000"/>
      <name val="Arial"/>
      <family val="0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i val="true"/>
      <sz val="8"/>
      <color rgb="FFFAC090"/>
      <name val="Arial"/>
      <family val="2"/>
      <charset val="1"/>
    </font>
    <font>
      <b val="true"/>
      <i val="true"/>
      <sz val="8"/>
      <color rgb="FF77933C"/>
      <name val="Arial"/>
      <family val="2"/>
      <charset val="1"/>
    </font>
    <font>
      <sz val="8"/>
      <color rgb="FFFF0000"/>
      <name val="Arial"/>
      <family val="2"/>
      <charset val="1"/>
    </font>
    <font>
      <b val="true"/>
      <i val="true"/>
      <sz val="8"/>
      <color rgb="FFB7DEE8"/>
      <name val="Arial"/>
      <family val="2"/>
      <charset val="1"/>
    </font>
    <font>
      <sz val="10"/>
      <color rgb="FFFAC09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i val="true"/>
      <sz val="8"/>
      <color rgb="FF000000"/>
      <name val="Arial"/>
      <family val="2"/>
      <charset val="1"/>
    </font>
    <font>
      <sz val="8"/>
      <color rgb="FFFF0000"/>
      <name val="Arial"/>
      <family val="0"/>
      <charset val="1"/>
    </font>
    <font>
      <sz val="8"/>
      <name val="Arial"/>
      <family val="0"/>
      <charset val="1"/>
    </font>
    <font>
      <i val="true"/>
      <sz val="10"/>
      <name val="Arial"/>
      <family val="2"/>
      <charset val="1"/>
    </font>
    <font>
      <b val="true"/>
      <i val="true"/>
      <sz val="8"/>
      <color rgb="FFC3D69B"/>
      <name val="Arial"/>
      <family val="2"/>
      <charset val="1"/>
    </font>
    <font>
      <b val="true"/>
      <i val="true"/>
      <sz val="8"/>
      <color rgb="FF93CDDD"/>
      <name val="Arial"/>
      <family val="2"/>
      <charset val="1"/>
    </font>
    <font>
      <b val="true"/>
      <i val="true"/>
      <sz val="8"/>
      <color rgb="FFD7E4BD"/>
      <name val="Arial"/>
      <family val="2"/>
      <charset val="1"/>
    </font>
    <font>
      <b val="true"/>
      <i val="true"/>
      <sz val="8"/>
      <color rgb="FF95B3D7"/>
      <name val="Arial"/>
      <family val="2"/>
      <charset val="1"/>
    </font>
    <font>
      <b val="true"/>
      <i val="true"/>
      <sz val="8"/>
      <name val="Arial"/>
      <family val="2"/>
      <charset val="1"/>
    </font>
    <font>
      <sz val="9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8"/>
      <color rgb="FFFFFFFF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b val="true"/>
      <sz val="36"/>
      <color rgb="FFFFFFFF"/>
      <name val="Arial"/>
      <family val="2"/>
      <charset val="1"/>
    </font>
    <font>
      <u val="single"/>
      <sz val="10"/>
      <color rgb="FF0000FF"/>
      <name val="Arial"/>
      <family val="0"/>
      <charset val="1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C0C0C0"/>
      </patternFill>
    </fill>
    <fill>
      <patternFill patternType="solid">
        <fgColor rgb="FFC0C0C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rgb="FF003300"/>
      </patternFill>
    </fill>
    <fill>
      <patternFill patternType="solid">
        <fgColor rgb="FFFCD5B5"/>
        <bgColor rgb="FFFAC090"/>
      </patternFill>
    </fill>
    <fill>
      <patternFill patternType="solid">
        <fgColor rgb="FFD9D9D9"/>
        <bgColor rgb="FFD7E4BD"/>
      </patternFill>
    </fill>
    <fill>
      <patternFill patternType="solid">
        <fgColor rgb="FFFFFFFF"/>
        <bgColor rgb="FFEBF1DE"/>
      </patternFill>
    </fill>
    <fill>
      <patternFill patternType="solid">
        <fgColor rgb="FFEBF1DE"/>
        <bgColor rgb="FFDBEEF4"/>
      </patternFill>
    </fill>
    <fill>
      <patternFill patternType="solid">
        <fgColor rgb="FFC3D69B"/>
        <bgColor rgb="FFD7E4BD"/>
      </patternFill>
    </fill>
    <fill>
      <patternFill patternType="solid">
        <fgColor rgb="FFDBEEF4"/>
        <bgColor rgb="FFEBF1DE"/>
      </patternFill>
    </fill>
    <fill>
      <patternFill patternType="solid">
        <fgColor rgb="FFD7E4BD"/>
        <bgColor rgb="FFD9D9D9"/>
      </patternFill>
    </fill>
    <fill>
      <patternFill patternType="solid">
        <fgColor rgb="FF808080"/>
        <bgColor rgb="FF666699"/>
      </patternFill>
    </fill>
  </fills>
  <borders count="17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double"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5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9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21" fillId="2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9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2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43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43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9" xfId="0" applyFont="true" applyBorder="true" applyAlignment="true" applyProtection="false">
      <alignment horizontal="general" vertical="center" textRotation="43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2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0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9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30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66" fontId="3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5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7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6" fillId="1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3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255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general" vertical="center" textRotation="255" wrapText="false" indent="0" shrinkToFit="false"/>
      <protection locked="true" hidden="false"/>
    </xf>
    <xf numFmtId="166" fontId="3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16" fillId="7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16" fillId="7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2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12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4" fillId="6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0" fillId="0" borderId="0" xfId="0" applyFont="true" applyBorder="false" applyAlignment="true" applyProtection="false">
      <alignment horizontal="center" vertical="center" textRotation="255" wrapText="false" indent="0" shrinkToFit="false"/>
      <protection locked="true" hidden="false"/>
    </xf>
    <xf numFmtId="164" fontId="20" fillId="13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2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4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2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5" fillId="0" borderId="9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4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4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2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8"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  <alignment horizontal="general" vertical="bottom" textRotation="0" wrapText="false" indent="0" shrinkToFit="false"/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C0C0C0"/>
      <rgbColor rgb="FF808080"/>
      <rgbColor rgb="FF95B3D7"/>
      <rgbColor rgb="FF993366"/>
      <rgbColor rgb="FFEBF1DE"/>
      <rgbColor rgb="FFDBEEF4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7DEE8"/>
      <rgbColor rgb="FFD7E4BD"/>
      <rgbColor rgb="FFFCD5B5"/>
      <rgbColor rgb="FF93CDDD"/>
      <rgbColor rgb="FFFF99CC"/>
      <rgbColor rgb="FFBFBFBF"/>
      <rgbColor rgb="FFFAC090"/>
      <rgbColor rgb="FF3366FF"/>
      <rgbColor rgb="FF33CCCC"/>
      <rgbColor rgb="FF99CC00"/>
      <rgbColor rgb="FFFFC000"/>
      <rgbColor rgb="FFFF9900"/>
      <rgbColor rgb="FFFF6600"/>
      <rgbColor rgb="FF666699"/>
      <rgbColor rgb="FFC3D69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720</xdr:colOff>
      <xdr:row>2</xdr:row>
      <xdr:rowOff>28440</xdr:rowOff>
    </xdr:from>
    <xdr:to>
      <xdr:col>26</xdr:col>
      <xdr:colOff>160200</xdr:colOff>
      <xdr:row>60</xdr:row>
      <xdr:rowOff>74160</xdr:rowOff>
    </xdr:to>
    <xdr:sp>
      <xdr:nvSpPr>
        <xdr:cNvPr id="0" name="CustomShape 1"/>
        <xdr:cNvSpPr/>
      </xdr:nvSpPr>
      <xdr:spPr>
        <a:xfrm>
          <a:off x="329400" y="363600"/>
          <a:ext cx="8382960" cy="97689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800" spc="-1" strike="noStrike" u="sng">
              <a:solidFill>
                <a:srgbClr val="000000"/>
              </a:solidFill>
              <a:uFillTx/>
              <a:latin typeface="Calibri"/>
            </a:rPr>
            <a:t>User Guide</a:t>
          </a: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Mettez des croix (x)  dans les colonnes points. Utilisez une ou plusieurs croix (x) pour affiner votre score.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Ne laisser pas de croix dans la colonne 0, à moins que vous n'ayez rien fait.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Croix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3 ---&gt; TP fonctionel parfait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2 ---&gt; TP fonctionel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0 ---&gt; sinon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Des combinaisons sont possible, une croix dans 1 et dans 2 par exemple!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Cases noires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Il  est interdit de mettre des croix dans les cases noires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ce cas, soit on met une croix dans 3 si le TP est fonctionnel , soit dans 1 s’il ne l’est pas,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ou éventuellement dans 1 et dans 3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Pas de case noire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à cases noires, vous n'avez pas besoin de justifier les 3 points,.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sans cases noires, oui, à moins que ce soit un test.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 et cases grises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2 points si ils passent, 3 points si en plus le test performamce passe.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Scores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(x) par ligne peuvent être placés pour indiquer des notes intermédiaires 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Définition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Open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est pris en compte pour l'évaluation.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Actif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fait partie des TP a réaliser.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Open non Actif permet  d'obtenir des bonus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Identification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N'oubliez pas de remplire les champs d'identification.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Qui êtes-vous?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Evaluation Tp non graphiques: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Fps /speed up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Indiquer les fps que vous obtenez avec votre meilleur dg/db en mode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benchmark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sans rendu graphique.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La colonne speedup se remplit toute seule.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Checker la cohérence inter-colonne et inter ligne!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Attention à l'unité!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720</xdr:colOff>
      <xdr:row>61</xdr:row>
      <xdr:rowOff>133920</xdr:rowOff>
    </xdr:from>
    <xdr:to>
      <xdr:col>19</xdr:col>
      <xdr:colOff>45720</xdr:colOff>
      <xdr:row>73</xdr:row>
      <xdr:rowOff>132120</xdr:rowOff>
    </xdr:to>
    <xdr:sp>
      <xdr:nvSpPr>
        <xdr:cNvPr id="1" name="CustomShape 1"/>
        <xdr:cNvSpPr/>
      </xdr:nvSpPr>
      <xdr:spPr>
        <a:xfrm>
          <a:off x="329400" y="10359720"/>
          <a:ext cx="5965920" cy="20098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Démo cube 3D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1/2 points par face du cube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Max Points = 6*1/2 = 3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sur la meme ligne possible pour tuner les points finement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Autant de TP différent que possible (Rippling,Mandelbrot, RaytracingGM,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RaytracingSM,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...)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Note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: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Profiter des TP zoomables pour remplire toutes les faces du cubes si nécessaire. Utilisez à cet effet différent domaine de math donnant des images intéressantes.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75</xdr:row>
      <xdr:rowOff>76320</xdr:rowOff>
    </xdr:from>
    <xdr:to>
      <xdr:col>17</xdr:col>
      <xdr:colOff>56160</xdr:colOff>
      <xdr:row>79</xdr:row>
      <xdr:rowOff>151560</xdr:rowOff>
    </xdr:to>
    <xdr:sp>
      <xdr:nvSpPr>
        <xdr:cNvPr id="2" name="CustomShape 1"/>
        <xdr:cNvSpPr/>
      </xdr:nvSpPr>
      <xdr:spPr>
        <a:xfrm>
          <a:off x="295200" y="12649320"/>
          <a:ext cx="5352480" cy="7455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Test_All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(I1) Mandelbrot float (on peut pas avoir double et half en même temps)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(I2) Montecarlo  long (on peut pas avoir en même temps les int et long)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29160</xdr:colOff>
      <xdr:row>96</xdr:row>
      <xdr:rowOff>104760</xdr:rowOff>
    </xdr:from>
    <xdr:to>
      <xdr:col>9</xdr:col>
      <xdr:colOff>217080</xdr:colOff>
      <xdr:row>100</xdr:row>
      <xdr:rowOff>56160</xdr:rowOff>
    </xdr:to>
    <xdr:sp>
      <xdr:nvSpPr>
        <xdr:cNvPr id="3" name="CustomShape 1"/>
        <xdr:cNvSpPr/>
      </xdr:nvSpPr>
      <xdr:spPr>
        <a:xfrm>
          <a:off x="357840" y="16198200"/>
          <a:ext cx="2819520" cy="6217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Bonus/Malus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Oublier pas de remplire le bonus/malus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10080</xdr:colOff>
      <xdr:row>81</xdr:row>
      <xdr:rowOff>85680</xdr:rowOff>
    </xdr:from>
    <xdr:to>
      <xdr:col>8</xdr:col>
      <xdr:colOff>327960</xdr:colOff>
      <xdr:row>85</xdr:row>
      <xdr:rowOff>132120</xdr:rowOff>
    </xdr:to>
    <xdr:sp>
      <xdr:nvSpPr>
        <xdr:cNvPr id="4" name="CustomShape 1"/>
        <xdr:cNvSpPr/>
      </xdr:nvSpPr>
      <xdr:spPr>
        <a:xfrm>
          <a:off x="338760" y="13664520"/>
          <a:ext cx="2620440" cy="7167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Workspace_Compilation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wcompileGCC.sh (root of workspace)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succes (compilation et linkage)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87</xdr:row>
      <xdr:rowOff>76320</xdr:rowOff>
    </xdr:from>
    <xdr:to>
      <xdr:col>28</xdr:col>
      <xdr:colOff>169560</xdr:colOff>
      <xdr:row>94</xdr:row>
      <xdr:rowOff>132480</xdr:rowOff>
    </xdr:to>
    <xdr:sp>
      <xdr:nvSpPr>
        <xdr:cNvPr id="5" name="CustomShape 1"/>
        <xdr:cNvSpPr/>
      </xdr:nvSpPr>
      <xdr:spPr>
        <a:xfrm>
          <a:off x="295200" y="14661000"/>
          <a:ext cx="9084240" cy="12294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Management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	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1)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Compilation Workspace : lancer le script à la racine du workspace : tout doi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t compiler!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2) Délivrable : Remis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temps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et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bonne et due forme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3) Colonne Preformance : remplie avec des valeurs qui tiennent la route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4) Cohérence performance : Certaines implémentations doivnet aller plus vite que d'autres, vus les efforts consentits, est-ce le cas?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506160</xdr:rowOff>
    </xdr:from>
    <xdr:to>
      <xdr:col>12</xdr:col>
      <xdr:colOff>456120</xdr:colOff>
      <xdr:row>2</xdr:row>
      <xdr:rowOff>1504080</xdr:rowOff>
    </xdr:to>
    <xdr:sp>
      <xdr:nvSpPr>
        <xdr:cNvPr id="6" name="CustomShape 1"/>
        <xdr:cNvSpPr/>
      </xdr:nvSpPr>
      <xdr:spPr>
        <a:xfrm>
          <a:off x="5389920" y="816480"/>
          <a:ext cx="1489680" cy="9979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cellule bleue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170280</xdr:colOff>
      <xdr:row>2</xdr:row>
      <xdr:rowOff>1506240</xdr:rowOff>
    </xdr:from>
    <xdr:to>
      <xdr:col>11</xdr:col>
      <xdr:colOff>330840</xdr:colOff>
      <xdr:row>6</xdr:row>
      <xdr:rowOff>113400</xdr:rowOff>
    </xdr:to>
    <xdr:sp>
      <xdr:nvSpPr>
        <xdr:cNvPr id="7" name="CustomShape 1"/>
        <xdr:cNvSpPr/>
      </xdr:nvSpPr>
      <xdr:spPr>
        <a:xfrm flipH="1">
          <a:off x="5208120" y="1816560"/>
          <a:ext cx="918720" cy="81684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83160</xdr:colOff>
      <xdr:row>2</xdr:row>
      <xdr:rowOff>1506240</xdr:rowOff>
    </xdr:from>
    <xdr:to>
      <xdr:col>11</xdr:col>
      <xdr:colOff>330480</xdr:colOff>
      <xdr:row>15</xdr:row>
      <xdr:rowOff>31680</xdr:rowOff>
    </xdr:to>
    <xdr:sp>
      <xdr:nvSpPr>
        <xdr:cNvPr id="8" name="CustomShape 1"/>
        <xdr:cNvSpPr/>
      </xdr:nvSpPr>
      <xdr:spPr>
        <a:xfrm flipH="1">
          <a:off x="5377680" y="1816560"/>
          <a:ext cx="748800" cy="222444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610200</xdr:rowOff>
    </xdr:from>
    <xdr:to>
      <xdr:col>13</xdr:col>
      <xdr:colOff>437400</xdr:colOff>
      <xdr:row>2</xdr:row>
      <xdr:rowOff>1360800</xdr:rowOff>
    </xdr:to>
    <xdr:sp>
      <xdr:nvSpPr>
        <xdr:cNvPr id="9" name="CustomShape 1"/>
        <xdr:cNvSpPr/>
      </xdr:nvSpPr>
      <xdr:spPr>
        <a:xfrm>
          <a:off x="5389920" y="920520"/>
          <a:ext cx="1972440" cy="7506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169200</xdr:colOff>
      <xdr:row>2</xdr:row>
      <xdr:rowOff>1362960</xdr:rowOff>
    </xdr:from>
    <xdr:to>
      <xdr:col>12</xdr:col>
      <xdr:colOff>24840</xdr:colOff>
      <xdr:row>6</xdr:row>
      <xdr:rowOff>113400</xdr:rowOff>
    </xdr:to>
    <xdr:sp>
      <xdr:nvSpPr>
        <xdr:cNvPr id="10" name="CustomShape 1"/>
        <xdr:cNvSpPr/>
      </xdr:nvSpPr>
      <xdr:spPr>
        <a:xfrm flipH="1">
          <a:off x="5207040" y="1673280"/>
          <a:ext cx="1178280" cy="96012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82800</xdr:colOff>
      <xdr:row>2</xdr:row>
      <xdr:rowOff>1362960</xdr:rowOff>
    </xdr:from>
    <xdr:to>
      <xdr:col>12</xdr:col>
      <xdr:colOff>24480</xdr:colOff>
      <xdr:row>15</xdr:row>
      <xdr:rowOff>27000</xdr:rowOff>
    </xdr:to>
    <xdr:sp>
      <xdr:nvSpPr>
        <xdr:cNvPr id="11" name="CustomShape 1"/>
        <xdr:cNvSpPr/>
      </xdr:nvSpPr>
      <xdr:spPr>
        <a:xfrm flipH="1">
          <a:off x="5377320" y="1673280"/>
          <a:ext cx="1007640" cy="237312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guillaume.mouchet@he-arc.ch" TargetMode="External"/><Relationship Id="rId2" Type="http://schemas.openxmlformats.org/officeDocument/2006/relationships/hyperlink" Target="mailto:benjamin.mouchet@he-arc.ch" TargetMode="External"/><Relationship Id="rId3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05" activeCellId="0" sqref="J105"/>
    </sheetView>
  </sheetViews>
  <sheetFormatPr defaultRowHeight="13.2" zeroHeight="false" outlineLevelRow="0" outlineLevelCol="0"/>
  <cols>
    <col collapsed="false" customWidth="true" hidden="false" outlineLevel="0" max="48" min="1" style="0" width="4.66"/>
    <col collapsed="false" customWidth="true" hidden="false" outlineLevel="0" max="1025" min="49" style="0" width="11.45"/>
  </cols>
  <sheetData>
    <row r="102" customFormat="false" ht="15.6" hidden="false" customHeight="false" outlineLevel="0" collapsed="false"/>
    <row r="103" customFormat="fals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true" showOutlineSymbols="true" defaultGridColor="true" view="normal" topLeftCell="A80" colorId="64" zoomScale="100" zoomScaleNormal="100" zoomScalePageLayoutView="100" workbookViewId="0">
      <selection pane="topLeft" activeCell="AA80" activeCellId="0" sqref="AA80"/>
    </sheetView>
  </sheetViews>
  <sheetFormatPr defaultRowHeight="13.2" zeroHeight="false" outlineLevelRow="2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2" min="12" style="0" width="8.89"/>
    <col collapsed="false" customWidth="true" hidden="false" outlineLevel="0" max="13" min="13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5.1"/>
    <col collapsed="false" customWidth="true" hidden="false" outlineLevel="0" max="30" min="30" style="0" width="3.89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fals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N2" s="4" t="s">
        <v>0</v>
      </c>
      <c r="O2" s="4"/>
      <c r="P2" s="4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6" t="s">
        <v>1</v>
      </c>
      <c r="C3" s="6"/>
      <c r="D3" s="6"/>
      <c r="E3" s="6"/>
      <c r="F3" s="7"/>
      <c r="G3" s="8" t="s">
        <v>2</v>
      </c>
      <c r="H3" s="8"/>
      <c r="I3" s="8"/>
      <c r="J3" s="8"/>
      <c r="K3" s="9"/>
      <c r="L3" s="10"/>
      <c r="M3" s="2"/>
      <c r="N3" s="11" t="s">
        <v>0</v>
      </c>
      <c r="O3" s="11"/>
      <c r="P3" s="11" t="s">
        <v>3</v>
      </c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14" t="s">
        <v>8</v>
      </c>
      <c r="AB3" s="15"/>
      <c r="AC3" s="10" t="s">
        <v>9</v>
      </c>
      <c r="AD3" s="13"/>
      <c r="AE3" s="16" t="s">
        <v>10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20" t="s">
        <v>13</v>
      </c>
      <c r="C4" s="20"/>
      <c r="D4" s="20"/>
      <c r="E4" s="20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M4" s="24"/>
      <c r="N4" s="25"/>
      <c r="O4" s="25"/>
      <c r="P4" s="11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14"/>
      <c r="AB4" s="15"/>
      <c r="AC4" s="10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 t="s">
        <v>22</v>
      </c>
      <c r="K6" s="43"/>
      <c r="L6" s="43"/>
      <c r="M6" s="44" t="str">
        <f aca="false">IF(AND(U6=1,N6="",AR6&gt;0,AR6&lt;&gt;""),"TODO !","")</f>
        <v/>
      </c>
      <c r="N6" s="45" t="n">
        <v>173577</v>
      </c>
      <c r="O6" s="46" t="s">
        <v>23</v>
      </c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n">
        <f aca="false">IF(U6=1,AR6,"")</f>
        <v>12</v>
      </c>
      <c r="Z6" s="50"/>
      <c r="AA6" s="51"/>
      <c r="AB6" s="50"/>
      <c r="AC6" s="50"/>
      <c r="AD6" s="50"/>
      <c r="AE6" s="52"/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n">
        <f aca="false">IF(J6="x",AN$4,"")</f>
        <v>3</v>
      </c>
      <c r="AO6" s="2"/>
      <c r="AP6" s="48" t="n">
        <f aca="false">COUNTIF(G6:J6,"=x")</f>
        <v>1</v>
      </c>
      <c r="AQ6" s="48" t="n">
        <f aca="false">IF(AP6&gt;0,AVERAGE(AK6:AN6),"")</f>
        <v>3</v>
      </c>
      <c r="AR6" s="48" t="n">
        <f aca="false">IF(AND(AP6&gt;0,U6=1),AQ6*R6,"")</f>
        <v>12</v>
      </c>
      <c r="AS6" s="2"/>
      <c r="AT6" s="48" t="n">
        <f aca="false">AI6*3</f>
        <v>12</v>
      </c>
      <c r="AV6" s="54" t="n">
        <f aca="false">SUM(AR6:AR7)</f>
        <v>24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 t="s">
        <v>22</v>
      </c>
      <c r="K7" s="43"/>
      <c r="L7" s="43"/>
      <c r="M7" s="44"/>
      <c r="N7" s="60" t="n">
        <v>9</v>
      </c>
      <c r="O7" s="61" t="s">
        <v>27</v>
      </c>
      <c r="P7" s="26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n">
        <f aca="false">IF(U7=1,AR7,"")</f>
        <v>12</v>
      </c>
      <c r="Z7" s="50"/>
      <c r="AA7" s="51"/>
      <c r="AB7" s="50"/>
      <c r="AC7" s="50"/>
      <c r="AD7" s="50"/>
      <c r="AE7" s="52"/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n">
        <f aca="false">IF(J7="x",AN$4,"")</f>
        <v>3</v>
      </c>
      <c r="AO7" s="2"/>
      <c r="AP7" s="48" t="n">
        <f aca="false">COUNTIF(G7:J7,"=x")</f>
        <v>1</v>
      </c>
      <c r="AQ7" s="48" t="n">
        <f aca="false">IF(AP7&gt;0,AVERAGE(AK7:AN7),"")</f>
        <v>3</v>
      </c>
      <c r="AR7" s="48" t="n">
        <f aca="false">IF(AND(AP7&gt;0,U7=1),AQ7*R7,"")</f>
        <v>12</v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M8" s="44"/>
      <c r="N8" s="64"/>
      <c r="O8" s="46"/>
      <c r="P8" s="26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M9" s="44"/>
      <c r="N9" s="64"/>
      <c r="O9" s="46"/>
      <c r="P9" s="26" t="s">
        <v>28</v>
      </c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 t="s">
        <v>22</v>
      </c>
      <c r="K10" s="43"/>
      <c r="L10" s="43"/>
      <c r="M10" s="44" t="str">
        <f aca="false">IF(AND(U10=1,N10="",AR10&gt;0,AR10&lt;&gt;""),"TODO !","")</f>
        <v/>
      </c>
      <c r="N10" s="45" t="n">
        <v>172255</v>
      </c>
      <c r="O10" s="46" t="s">
        <v>23</v>
      </c>
      <c r="P10" s="72" t="n">
        <v>1</v>
      </c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n">
        <f aca="false">IF(U10=1,AR10,"")</f>
        <v>6</v>
      </c>
      <c r="Z10" s="50"/>
      <c r="AA10" s="51"/>
      <c r="AB10" s="50"/>
      <c r="AC10" s="50"/>
      <c r="AD10" s="50"/>
      <c r="AE10" s="52"/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n">
        <f aca="false">IF(J10="x",AN$4,"")</f>
        <v>3</v>
      </c>
      <c r="AO10" s="2"/>
      <c r="AP10" s="48" t="n">
        <f aca="false">COUNTIF(G10:J10,"=x")</f>
        <v>1</v>
      </c>
      <c r="AQ10" s="48" t="n">
        <f aca="false">IF(AP10&gt;0,AVERAGE(AK10:AN10),"")</f>
        <v>3</v>
      </c>
      <c r="AR10" s="48" t="n">
        <f aca="false">IF(AND(AP10&gt;0,U10=1),AQ10*R10,"")</f>
        <v>6</v>
      </c>
      <c r="AS10" s="2"/>
      <c r="AT10" s="48" t="n">
        <f aca="false">AI10*3</f>
        <v>6</v>
      </c>
      <c r="AV10" s="54" t="n">
        <f aca="false">SUM(AR10:AR17)</f>
        <v>84</v>
      </c>
      <c r="AW10" s="54" t="n">
        <f aca="false">SUM(AT10:AT17)</f>
        <v>84</v>
      </c>
    </row>
    <row r="11" customFormat="false" ht="12.8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 t="s">
        <v>22</v>
      </c>
      <c r="K11" s="43"/>
      <c r="L11" s="43"/>
      <c r="M11" s="44" t="str">
        <f aca="false">IF(AND(U11=1,N11="",AR11&gt;0,AR11&lt;&gt;""),"TODO !","")</f>
        <v/>
      </c>
      <c r="N11" s="45" t="n">
        <v>172145</v>
      </c>
      <c r="O11" s="46" t="s">
        <v>23</v>
      </c>
      <c r="P11" s="50" t="n">
        <f aca="false">IF(AND(N11&lt;&gt;"",N10&lt;&gt;""),N11/$N$10,"")</f>
        <v>0.999361411860323</v>
      </c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n">
        <f aca="false">IF(U11=1,AR11,"")</f>
        <v>42</v>
      </c>
      <c r="Z11" s="50"/>
      <c r="AA11" s="50"/>
      <c r="AB11" s="50"/>
      <c r="AC11" s="50"/>
      <c r="AD11" s="50"/>
      <c r="AE11" s="73"/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n">
        <f aca="false">IF(J11="x",AN$4,"")</f>
        <v>3</v>
      </c>
      <c r="AO11" s="2"/>
      <c r="AP11" s="48" t="n">
        <f aca="false">COUNTIF(G11:J11,"=x")</f>
        <v>1</v>
      </c>
      <c r="AQ11" s="48" t="n">
        <f aca="false">IF(AP11&gt;0,AVERAGE(AK11:AN11),"")</f>
        <v>3</v>
      </c>
      <c r="AR11" s="48" t="n">
        <f aca="false">IF(AND(AP11&gt;0,U11=1),AQ11*R11,"")</f>
        <v>42</v>
      </c>
      <c r="AS11" s="2"/>
      <c r="AT11" s="48" t="n">
        <f aca="false">AI11*3</f>
        <v>42</v>
      </c>
      <c r="AV11" s="54"/>
      <c r="AW11" s="54"/>
    </row>
    <row r="12" customFormat="false" ht="12.8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 t="s">
        <v>22</v>
      </c>
      <c r="K12" s="43"/>
      <c r="L12" s="43"/>
      <c r="M12" s="44" t="str">
        <f aca="false">IF(AND(U12=1,N12="",AR12&gt;0,AR12&lt;&gt;""),"TODO !","")</f>
        <v/>
      </c>
      <c r="N12" s="45" t="n">
        <v>172346</v>
      </c>
      <c r="O12" s="46" t="s">
        <v>23</v>
      </c>
      <c r="P12" s="50" t="n">
        <f aca="false">IF(AND(N12&lt;&gt;"",N11&lt;&gt;""),N12/$N$10,"")</f>
        <v>1.00052828655191</v>
      </c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n">
        <f aca="false">IF(U12=1,AR12,"")</f>
        <v>6</v>
      </c>
      <c r="Z12" s="50"/>
      <c r="AA12" s="50"/>
      <c r="AB12" s="50"/>
      <c r="AC12" s="50"/>
      <c r="AD12" s="50"/>
      <c r="AE12" s="73"/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n">
        <f aca="false">IF(J12="x",AN$4,"")</f>
        <v>3</v>
      </c>
      <c r="AO12" s="2"/>
      <c r="AP12" s="48" t="n">
        <f aca="false">COUNTIF(G12:J12,"=x")</f>
        <v>1</v>
      </c>
      <c r="AQ12" s="48" t="n">
        <f aca="false">IF(AP12&gt;0,AVERAGE(AK12:AN12),"")</f>
        <v>3</v>
      </c>
      <c r="AR12" s="48" t="n">
        <f aca="false">IF(AND(AP12&gt;0,U12=1),AQ12*R12,"")</f>
        <v>6</v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 t="s">
        <v>22</v>
      </c>
      <c r="K13" s="43"/>
      <c r="L13" s="43"/>
      <c r="M13" s="44" t="str">
        <f aca="false">IF(AND(U13=1,N13="",AR13&gt;0,AR13&lt;&gt;""),"TODO !","")</f>
        <v>TODO !</v>
      </c>
      <c r="N13" s="64"/>
      <c r="O13" s="46"/>
      <c r="P13" s="50"/>
      <c r="Q13" s="43"/>
      <c r="R13" s="47" t="n">
        <v>6</v>
      </c>
      <c r="S13" s="8"/>
      <c r="U13" s="48" t="n">
        <v>1</v>
      </c>
      <c r="V13" s="48" t="n">
        <v>1</v>
      </c>
      <c r="W13" s="26" t="str">
        <f aca="false">IF(AND(U13=1,V13=0),"Bonus","")</f>
        <v/>
      </c>
      <c r="X13" s="26"/>
      <c r="Y13" s="49" t="n">
        <f aca="false">IF(U13=1,AR13,"")</f>
        <v>18</v>
      </c>
      <c r="Z13" s="50"/>
      <c r="AA13" s="50"/>
      <c r="AB13" s="50"/>
      <c r="AC13" s="50"/>
      <c r="AD13" s="50"/>
      <c r="AE13" s="74"/>
      <c r="AF13" s="0" t="str">
        <f aca="false">IF(AND(J13="x",AE13=""),"TODO !","")</f>
        <v>TODO !</v>
      </c>
      <c r="AG13" s="53"/>
      <c r="AH13" s="2"/>
      <c r="AI13" s="48" t="n">
        <f aca="false">U13*V13*R13</f>
        <v>6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n">
        <f aca="false">IF(J13="x",AN$4,"")</f>
        <v>3</v>
      </c>
      <c r="AO13" s="2"/>
      <c r="AP13" s="48" t="n">
        <f aca="false">COUNTIF(G13:J13,"=x")</f>
        <v>1</v>
      </c>
      <c r="AQ13" s="48" t="n">
        <f aca="false">IF(AP13&gt;0,AVERAGE(AK13:AN13),"")</f>
        <v>3</v>
      </c>
      <c r="AR13" s="48" t="n">
        <f aca="false">IF(AND(AP13&gt;0,U13=1),AQ13*R13,"")</f>
        <v>18</v>
      </c>
      <c r="AS13" s="2"/>
      <c r="AT13" s="48" t="n">
        <f aca="false">AI13*3</f>
        <v>18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M14" s="44"/>
      <c r="N14" s="64"/>
      <c r="O14" s="46"/>
      <c r="P14" s="50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37</v>
      </c>
      <c r="F15" s="34"/>
      <c r="G15" s="41"/>
      <c r="H15" s="41"/>
      <c r="I15" s="58"/>
      <c r="J15" s="59" t="s">
        <v>22</v>
      </c>
      <c r="K15" s="43"/>
      <c r="L15" s="43"/>
      <c r="M15" s="44" t="str">
        <f aca="false">IF(AND(U15=1,N15="",AR15&gt;0,AR15&lt;&gt;""),"TODO !","")</f>
        <v/>
      </c>
      <c r="N15" s="60" t="n">
        <v>9</v>
      </c>
      <c r="O15" s="61" t="s">
        <v>27</v>
      </c>
      <c r="P15" s="50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n">
        <f aca="false">IF(U15=1,AR15,"")</f>
        <v>3</v>
      </c>
      <c r="Z15" s="50"/>
      <c r="AA15" s="50"/>
      <c r="AB15" s="50"/>
      <c r="AC15" s="50"/>
      <c r="AD15" s="50"/>
      <c r="AE15" s="73"/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n">
        <f aca="false">IF(J15="x",AN$4,"")</f>
        <v>3</v>
      </c>
      <c r="AO15" s="2"/>
      <c r="AP15" s="48" t="n">
        <f aca="false">COUNTIF(G15:J15,"=x")</f>
        <v>1</v>
      </c>
      <c r="AQ15" s="48" t="n">
        <f aca="false">IF(AP15&gt;0,AVERAGE(AK15:AN15),"")</f>
        <v>3</v>
      </c>
      <c r="AR15" s="48" t="n">
        <f aca="false">IF(AND(AP15&gt;0,U15=1),AQ15*R15,"")</f>
        <v>3</v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 t="s">
        <v>22</v>
      </c>
      <c r="K16" s="43"/>
      <c r="L16" s="43"/>
      <c r="M16" s="44" t="str">
        <f aca="false">IF(AND(U16=1,N16="",AR16&gt;0,AR16&lt;&gt;""),"TODO !","")</f>
        <v/>
      </c>
      <c r="N16" s="60" t="n">
        <v>9</v>
      </c>
      <c r="O16" s="61" t="s">
        <v>27</v>
      </c>
      <c r="P16" s="50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n">
        <f aca="false">IF(U16=1,AR16,"")</f>
        <v>6</v>
      </c>
      <c r="Z16" s="50"/>
      <c r="AA16" s="50"/>
      <c r="AB16" s="50"/>
      <c r="AC16" s="50"/>
      <c r="AD16" s="50"/>
      <c r="AE16" s="73"/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n">
        <f aca="false">IF(J16="x",AN$4,"")</f>
        <v>3</v>
      </c>
      <c r="AO16" s="2"/>
      <c r="AP16" s="48" t="n">
        <f aca="false">COUNTIF(G16:J16,"=x")</f>
        <v>1</v>
      </c>
      <c r="AQ16" s="48" t="n">
        <f aca="false">IF(AP16&gt;0,AVERAGE(AK16:AN16),"")</f>
        <v>3</v>
      </c>
      <c r="AR16" s="48" t="n">
        <f aca="false">IF(AND(AP16&gt;0,U16=1),AQ16*R16,"")</f>
        <v>6</v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 t="s">
        <v>22</v>
      </c>
      <c r="K17" s="43"/>
      <c r="L17" s="43"/>
      <c r="M17" s="44" t="str">
        <f aca="false">IF(AND(U17=1,N17="",AR17&gt;0,AR17&lt;&gt;""),"TODO !","")</f>
        <v/>
      </c>
      <c r="N17" s="60" t="n">
        <v>10</v>
      </c>
      <c r="O17" s="61" t="s">
        <v>27</v>
      </c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n">
        <f aca="false">IF(U17=1,AR17,"")</f>
        <v>3</v>
      </c>
      <c r="Z17" s="50"/>
      <c r="AA17" s="50"/>
      <c r="AB17" s="50"/>
      <c r="AC17" s="50"/>
      <c r="AD17" s="50"/>
      <c r="AE17" s="73"/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n">
        <f aca="false">IF(J17="x",AN$4,"")</f>
        <v>3</v>
      </c>
      <c r="AO17" s="2"/>
      <c r="AP17" s="48" t="n">
        <f aca="false">COUNTIF(G17:J17,"=x")</f>
        <v>1</v>
      </c>
      <c r="AQ17" s="48" t="n">
        <f aca="false">IF(AP17&gt;0,AVERAGE(AK17:AN17),"")</f>
        <v>3</v>
      </c>
      <c r="AR17" s="48" t="n">
        <f aca="false">IF(AND(AP17&gt;0,U17=1),AQ17*R17,"")</f>
        <v>3</v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M18" s="44"/>
      <c r="N18" s="79"/>
      <c r="O18" s="46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80"/>
      <c r="AD18" s="80"/>
      <c r="AE18" s="73"/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1" collapsed="false">
      <c r="G19" s="78"/>
      <c r="H19" s="78"/>
      <c r="I19" s="78"/>
      <c r="J19" s="78"/>
      <c r="L19" s="2"/>
      <c r="M19" s="44"/>
      <c r="O19" s="81"/>
      <c r="P19" s="26" t="s">
        <v>28</v>
      </c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80"/>
      <c r="AD19" s="80"/>
      <c r="AE19" s="73"/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38</v>
      </c>
      <c r="C20" s="38" t="s">
        <v>39</v>
      </c>
      <c r="D20" s="39"/>
      <c r="E20" s="71" t="s">
        <v>32</v>
      </c>
      <c r="F20" s="34"/>
      <c r="G20" s="41"/>
      <c r="H20" s="41"/>
      <c r="I20" s="42"/>
      <c r="J20" s="41" t="s">
        <v>22</v>
      </c>
      <c r="K20" s="43"/>
      <c r="L20" s="43"/>
      <c r="M20" s="44" t="str">
        <f aca="false">IF(AND(U20=1,N20="",AR20&gt;0,AR20&lt;&gt;""),"TODO !","")</f>
        <v/>
      </c>
      <c r="N20" s="45" t="n">
        <v>241</v>
      </c>
      <c r="O20" s="46" t="s">
        <v>23</v>
      </c>
      <c r="P20" s="72" t="n">
        <v>1</v>
      </c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n">
        <f aca="false">IF(U20=1,AR20,"")</f>
        <v>18</v>
      </c>
      <c r="Z20" s="50"/>
      <c r="AA20" s="50"/>
      <c r="AB20" s="50"/>
      <c r="AC20" s="50"/>
      <c r="AD20" s="50"/>
      <c r="AE20" s="73"/>
      <c r="AG20" s="53" t="s">
        <v>40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n">
        <f aca="false">IF(J20="x",AN$4,"")</f>
        <v>3</v>
      </c>
      <c r="AO20" s="2"/>
      <c r="AP20" s="48" t="n">
        <f aca="false">COUNTIF(G20:J20,"=x")</f>
        <v>1</v>
      </c>
      <c r="AQ20" s="48" t="n">
        <f aca="false">IF(AP20&gt;0,AVERAGE(AK20:AN20),"")</f>
        <v>3</v>
      </c>
      <c r="AR20" s="48" t="n">
        <f aca="false">IF(AND(AP20&gt;0,U20=1),AQ20*R20,"")</f>
        <v>18</v>
      </c>
      <c r="AS20" s="2"/>
      <c r="AT20" s="48" t="n">
        <f aca="false">AI20*3</f>
        <v>18</v>
      </c>
      <c r="AV20" s="54" t="n">
        <f aca="false">SUM(AR20:AR29)</f>
        <v>65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41</v>
      </c>
      <c r="D21" s="34"/>
      <c r="E21" s="71"/>
      <c r="F21" s="34"/>
      <c r="G21" s="41"/>
      <c r="H21" s="41"/>
      <c r="I21" s="42"/>
      <c r="J21" s="41" t="s">
        <v>22</v>
      </c>
      <c r="K21" s="43"/>
      <c r="L21" s="43"/>
      <c r="M21" s="44" t="str">
        <f aca="false">IF(AND(U21=1,N21="",AR21&gt;0,AR21&lt;&gt;""),"TODO !","")</f>
        <v/>
      </c>
      <c r="N21" s="45" t="n">
        <v>279</v>
      </c>
      <c r="O21" s="46" t="s">
        <v>23</v>
      </c>
      <c r="P21" s="83" t="n">
        <f aca="false">IF(N21&lt;&gt;"",N21/$N$20,"")</f>
        <v>1.15767634854772</v>
      </c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n">
        <f aca="false">IF(U21=1,AR21,"")</f>
        <v>6</v>
      </c>
      <c r="Z21" s="50"/>
      <c r="AA21" s="50"/>
      <c r="AB21" s="50"/>
      <c r="AC21" s="50"/>
      <c r="AD21" s="50"/>
      <c r="AE21" s="73"/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n">
        <f aca="false">IF(J21="x",AN$4,"")</f>
        <v>3</v>
      </c>
      <c r="AO21" s="2"/>
      <c r="AP21" s="48" t="n">
        <f aca="false">COUNTIF(G21:J21,"=x")</f>
        <v>1</v>
      </c>
      <c r="AQ21" s="48" t="n">
        <f aca="false">IF(AP21&gt;0,AVERAGE(AK21:AN21),"")</f>
        <v>3</v>
      </c>
      <c r="AR21" s="48" t="n">
        <f aca="false">IF(AND(AP21&gt;0,U21=1),AQ21*R21,"")</f>
        <v>6</v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42</v>
      </c>
      <c r="D22" s="34"/>
      <c r="E22" s="71"/>
      <c r="F22" s="34"/>
      <c r="G22" s="84"/>
      <c r="H22" s="84"/>
      <c r="I22" s="85"/>
      <c r="J22" s="84" t="s">
        <v>22</v>
      </c>
      <c r="K22" s="43"/>
      <c r="L22" s="43"/>
      <c r="M22" s="44" t="str">
        <f aca="false">IF(AND(U22=1,N22="",AR22&gt;0,AR22&lt;&gt;""),"TODO !","")</f>
        <v/>
      </c>
      <c r="N22" s="45" t="n">
        <v>97</v>
      </c>
      <c r="O22" s="46" t="s">
        <v>23</v>
      </c>
      <c r="P22" s="83" t="n">
        <f aca="false">IF(N22&lt;&gt;"",N22/$N$20,"")</f>
        <v>0.402489626556017</v>
      </c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n">
        <f aca="false">IF(U22=1,AR22,"")</f>
        <v>21</v>
      </c>
      <c r="Z22" s="50"/>
      <c r="AA22" s="50"/>
      <c r="AB22" s="50"/>
      <c r="AC22" s="50"/>
      <c r="AD22" s="50"/>
      <c r="AE22" s="73"/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n">
        <f aca="false">IF(J22="x",AN$4,"")</f>
        <v>3</v>
      </c>
      <c r="AO22" s="2"/>
      <c r="AP22" s="48" t="n">
        <f aca="false">COUNTIF(G22:J22,"=x")</f>
        <v>1</v>
      </c>
      <c r="AQ22" s="48" t="n">
        <f aca="false">IF(AP22&gt;0,AVERAGE(AK22:AN22),"")</f>
        <v>3</v>
      </c>
      <c r="AR22" s="48" t="n">
        <f aca="false">IF(AND(AP22&gt;0,U22=1),AQ22*R22,"")</f>
        <v>21</v>
      </c>
      <c r="AS22" s="2"/>
      <c r="AT22" s="48" t="n">
        <f aca="false">AI22*3</f>
        <v>21</v>
      </c>
      <c r="AV22" s="54"/>
      <c r="AW22" s="54"/>
    </row>
    <row r="23" customFormat="false" ht="12.8" hidden="false" customHeight="false" outlineLevel="1" collapsed="false">
      <c r="B23" s="70"/>
      <c r="C23" s="82" t="s">
        <v>43</v>
      </c>
      <c r="D23" s="34"/>
      <c r="E23" s="71"/>
      <c r="F23" s="34"/>
      <c r="G23" s="41"/>
      <c r="H23" s="41"/>
      <c r="I23" s="42"/>
      <c r="J23" s="41" t="s">
        <v>22</v>
      </c>
      <c r="K23" s="43"/>
      <c r="L23" s="43"/>
      <c r="M23" s="44" t="str">
        <f aca="false">IF(AND(U23=1,N23="",AR23&gt;0,AR23&lt;&gt;""),"TODO !","")</f>
        <v/>
      </c>
      <c r="N23" s="86" t="n">
        <v>280</v>
      </c>
      <c r="O23" s="46" t="s">
        <v>23</v>
      </c>
      <c r="P23" s="87" t="n">
        <f aca="false">IF(N23&lt;&gt;"",N23/$N$20,"")</f>
        <v>1.16182572614108</v>
      </c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n">
        <f aca="false">IF(U23=1,AR23,"")</f>
        <v>6</v>
      </c>
      <c r="Z23" s="50"/>
      <c r="AA23" s="50"/>
      <c r="AB23" s="50"/>
      <c r="AC23" s="50"/>
      <c r="AD23" s="50"/>
      <c r="AE23" s="73"/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n">
        <f aca="false">IF(J23="x",AN$4,"")</f>
        <v>3</v>
      </c>
      <c r="AO23" s="2"/>
      <c r="AP23" s="48" t="n">
        <f aca="false">COUNTIF(G23:J23,"=x")</f>
        <v>1</v>
      </c>
      <c r="AQ23" s="48" t="n">
        <f aca="false">IF(AP23&gt;0,AVERAGE(AK23:AN23),"")</f>
        <v>3</v>
      </c>
      <c r="AR23" s="48" t="n">
        <f aca="false">IF(AND(AP23&gt;0,U23=1),AQ23*R23,"")</f>
        <v>6</v>
      </c>
      <c r="AS23" s="2"/>
      <c r="AT23" s="48" t="n">
        <f aca="false">AI23*3</f>
        <v>6</v>
      </c>
      <c r="AV23" s="54"/>
      <c r="AW23" s="54"/>
    </row>
    <row r="24" customFormat="false" ht="13.8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M24" s="89" t="s">
        <v>44</v>
      </c>
      <c r="N24" s="45" t="n">
        <f aca="false">MAX(N20:N23)</f>
        <v>280</v>
      </c>
      <c r="O24" s="46" t="s">
        <v>23</v>
      </c>
      <c r="P24" s="83" t="n">
        <f aca="false">IF(N24&lt;&gt;"",N24/$N$20,"")</f>
        <v>1.16182572614108</v>
      </c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M25" s="44"/>
      <c r="N25" s="64"/>
      <c r="O25" s="46"/>
      <c r="P25" s="8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39</v>
      </c>
      <c r="D26" s="34"/>
      <c r="E26" s="76" t="s">
        <v>26</v>
      </c>
      <c r="F26" s="34"/>
      <c r="G26" s="41"/>
      <c r="H26" s="41"/>
      <c r="I26" s="41"/>
      <c r="J26" s="59" t="s">
        <v>22</v>
      </c>
      <c r="K26" s="43"/>
      <c r="L26" s="43"/>
      <c r="M26" s="44" t="str">
        <f aca="false">IF(AND(U26=1,N26="",AR26&gt;0,AR26&lt;&gt;""),"TODO !","")</f>
        <v/>
      </c>
      <c r="N26" s="60" t="n">
        <v>2</v>
      </c>
      <c r="O26" s="61" t="s">
        <v>27</v>
      </c>
      <c r="P26" s="8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n">
        <f aca="false">IF(U26=1,AR26,"")</f>
        <v>6</v>
      </c>
      <c r="Z26" s="50"/>
      <c r="AA26" s="50"/>
      <c r="AB26" s="50"/>
      <c r="AC26" s="50"/>
      <c r="AD26" s="50"/>
      <c r="AE26" s="73"/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n">
        <f aca="false">IF(J26="x",AN$4,"")</f>
        <v>3</v>
      </c>
      <c r="AO26" s="2"/>
      <c r="AP26" s="48" t="n">
        <f aca="false">COUNTIF(G26:J26,"=x")</f>
        <v>1</v>
      </c>
      <c r="AQ26" s="48" t="n">
        <f aca="false">IF(AP26&gt;0,AVERAGE(AK26:AN26),"")</f>
        <v>3</v>
      </c>
      <c r="AR26" s="48" t="n">
        <f aca="false">IF(AND(AP26&gt;0,U26=1),AQ26*R26,"")</f>
        <v>6</v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41</v>
      </c>
      <c r="D27" s="34"/>
      <c r="E27" s="76"/>
      <c r="F27" s="34"/>
      <c r="G27" s="41"/>
      <c r="H27" s="41"/>
      <c r="I27" s="41" t="s">
        <v>22</v>
      </c>
      <c r="J27" s="59"/>
      <c r="K27" s="43"/>
      <c r="L27" s="43"/>
      <c r="M27" s="44" t="str">
        <f aca="false">IF(AND(U27=1,N27="",AR27&gt;0,AR27&lt;&gt;""),"TODO !","")</f>
        <v/>
      </c>
      <c r="N27" s="60" t="n">
        <v>4</v>
      </c>
      <c r="O27" s="61" t="s">
        <v>27</v>
      </c>
      <c r="P27" s="8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n">
        <f aca="false">IF(U27=1,AR27,"")</f>
        <v>2</v>
      </c>
      <c r="Z27" s="50"/>
      <c r="AA27" s="50"/>
      <c r="AB27" s="50"/>
      <c r="AC27" s="50"/>
      <c r="AD27" s="50"/>
      <c r="AE27" s="73" t="s">
        <v>45</v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n">
        <f aca="false">IF(I27="x",AM$4,"")</f>
        <v>2</v>
      </c>
      <c r="AN27" s="48" t="str">
        <f aca="false">IF(J27="x",AN$4,"")</f>
        <v/>
      </c>
      <c r="AO27" s="2"/>
      <c r="AP27" s="48" t="n">
        <f aca="false">COUNTIF(G27:J27,"=x")</f>
        <v>1</v>
      </c>
      <c r="AQ27" s="48" t="n">
        <f aca="false">IF(AP27&gt;0,AVERAGE(AK27:AN27),"")</f>
        <v>2</v>
      </c>
      <c r="AR27" s="48" t="n">
        <f aca="false">IF(AND(AP27&gt;0,U27=1),AQ27*R27,"")</f>
        <v>2</v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42</v>
      </c>
      <c r="D28" s="34"/>
      <c r="E28" s="76"/>
      <c r="F28" s="34"/>
      <c r="G28" s="41"/>
      <c r="H28" s="41"/>
      <c r="I28" s="41"/>
      <c r="J28" s="59" t="s">
        <v>22</v>
      </c>
      <c r="K28" s="43"/>
      <c r="L28" s="43"/>
      <c r="M28" s="44" t="str">
        <f aca="false">IF(AND(U28=1,N28="",AR28&gt;0,AR28&lt;&gt;""),"TODO !","")</f>
        <v/>
      </c>
      <c r="N28" s="60" t="n">
        <v>1.9</v>
      </c>
      <c r="O28" s="61" t="s">
        <v>27</v>
      </c>
      <c r="P28" s="8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n">
        <f aca="false">IF(U28=1,AR28,"")</f>
        <v>3</v>
      </c>
      <c r="Z28" s="50"/>
      <c r="AA28" s="50"/>
      <c r="AB28" s="50"/>
      <c r="AC28" s="50"/>
      <c r="AD28" s="50"/>
      <c r="AE28" s="73"/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n">
        <f aca="false">IF(J28="x",AN$4,"")</f>
        <v>3</v>
      </c>
      <c r="AO28" s="2"/>
      <c r="AP28" s="48" t="n">
        <f aca="false">COUNTIF(G28:J28,"=x")</f>
        <v>1</v>
      </c>
      <c r="AQ28" s="48" t="n">
        <f aca="false">IF(AP28&gt;0,AVERAGE(AK28:AN28),"")</f>
        <v>3</v>
      </c>
      <c r="AR28" s="48" t="n">
        <f aca="false">IF(AND(AP28&gt;0,U28=1),AQ28*R28,"")</f>
        <v>3</v>
      </c>
      <c r="AS28" s="2"/>
      <c r="AT28" s="48" t="n">
        <f aca="false">AI28*3</f>
        <v>3</v>
      </c>
      <c r="AV28" s="54"/>
      <c r="AW28" s="54"/>
    </row>
    <row r="29" customFormat="false" ht="12.8" hidden="false" customHeight="false" outlineLevel="1" collapsed="false">
      <c r="B29" s="70"/>
      <c r="C29" s="55" t="s">
        <v>43</v>
      </c>
      <c r="D29" s="56"/>
      <c r="E29" s="76"/>
      <c r="F29" s="34"/>
      <c r="G29" s="41"/>
      <c r="H29" s="41"/>
      <c r="I29" s="41"/>
      <c r="J29" s="59" t="s">
        <v>22</v>
      </c>
      <c r="K29" s="43"/>
      <c r="L29" s="43"/>
      <c r="M29" s="44" t="str">
        <f aca="false">IF(AND(U29=1,N29="",AR29&gt;0,AR29&lt;&gt;""),"TODO !","")</f>
        <v/>
      </c>
      <c r="N29" s="60" t="n">
        <v>9</v>
      </c>
      <c r="O29" s="61" t="s">
        <v>27</v>
      </c>
      <c r="P29" s="8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n">
        <f aca="false">IF(U29=1,AR29,"")</f>
        <v>3</v>
      </c>
      <c r="Z29" s="50"/>
      <c r="AA29" s="50"/>
      <c r="AB29" s="50"/>
      <c r="AC29" s="50"/>
      <c r="AD29" s="50"/>
      <c r="AE29" s="73"/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n">
        <f aca="false">IF(J29="x",AN$4,"")</f>
        <v>3</v>
      </c>
      <c r="AO29" s="2"/>
      <c r="AP29" s="48" t="n">
        <f aca="false">COUNTIF(G29:J29,"=x")</f>
        <v>1</v>
      </c>
      <c r="AQ29" s="48" t="n">
        <f aca="false">IF(AP29&gt;0,AVERAGE(AK29:AN29),"")</f>
        <v>3</v>
      </c>
      <c r="AR29" s="48" t="n">
        <f aca="false">IF(AND(AP29&gt;0,U29=1),AQ29*R29,"")</f>
        <v>3</v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1" collapsed="false">
      <c r="G30" s="78"/>
      <c r="H30" s="78"/>
      <c r="I30" s="78"/>
      <c r="J30" s="78"/>
      <c r="M30" s="89"/>
      <c r="N30" s="90"/>
      <c r="O30" s="46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80"/>
      <c r="AD30" s="80"/>
      <c r="AE30" s="73"/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M31" s="44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80"/>
      <c r="AD31" s="80"/>
      <c r="AE31" s="73"/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46</v>
      </c>
      <c r="C32" s="38" t="s">
        <v>47</v>
      </c>
      <c r="D32" s="39" t="s">
        <v>48</v>
      </c>
      <c r="E32" s="92" t="s">
        <v>49</v>
      </c>
      <c r="F32" s="34"/>
      <c r="G32" s="41"/>
      <c r="H32" s="41"/>
      <c r="I32" s="42"/>
      <c r="J32" s="41" t="s">
        <v>22</v>
      </c>
      <c r="K32" s="43"/>
      <c r="L32" s="43"/>
      <c r="M32" s="44"/>
      <c r="N32" s="43"/>
      <c r="O32" s="43"/>
      <c r="P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n">
        <f aca="false">IF(U32=1,AR32,"")</f>
        <v>3</v>
      </c>
      <c r="Z32" s="50"/>
      <c r="AA32" s="50"/>
      <c r="AB32" s="50"/>
      <c r="AC32" s="50"/>
      <c r="AD32" s="50"/>
      <c r="AE32" s="73"/>
      <c r="AG32" s="53" t="s">
        <v>50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n">
        <f aca="false">IF(J32="x",AN$4,"")</f>
        <v>3</v>
      </c>
      <c r="AO32" s="2"/>
      <c r="AP32" s="48" t="n">
        <f aca="false">COUNTIF(G32:J32,"=x")</f>
        <v>1</v>
      </c>
      <c r="AQ32" s="48" t="n">
        <f aca="false">IF(AP32&gt;0,AVERAGE(AK32:AN32),"")</f>
        <v>3</v>
      </c>
      <c r="AR32" s="48" t="n">
        <f aca="false">IF(AND(AP32&gt;0,U32=1),AQ32*R32,"")</f>
        <v>3</v>
      </c>
      <c r="AS32" s="2"/>
      <c r="AT32" s="48" t="n">
        <f aca="false">AI32*3</f>
        <v>3</v>
      </c>
      <c r="AV32" s="54" t="n">
        <f aca="false">SUM(AR32:AR44)</f>
        <v>66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48</v>
      </c>
      <c r="E33" s="93" t="s">
        <v>51</v>
      </c>
      <c r="F33" s="34"/>
      <c r="G33" s="41"/>
      <c r="H33" s="41"/>
      <c r="I33" s="42"/>
      <c r="J33" s="41" t="s">
        <v>22</v>
      </c>
      <c r="K33" s="43"/>
      <c r="L33" s="43"/>
      <c r="M33" s="44"/>
      <c r="N33" s="43"/>
      <c r="O33" s="43"/>
      <c r="P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n">
        <f aca="false">IF(U33=1,AR33,"")</f>
        <v>12</v>
      </c>
      <c r="Z33" s="50"/>
      <c r="AA33" s="50"/>
      <c r="AB33" s="50"/>
      <c r="AC33" s="50"/>
      <c r="AD33" s="50"/>
      <c r="AE33" s="73"/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n">
        <f aca="false">IF(J33="x",AN$4,"")</f>
        <v>3</v>
      </c>
      <c r="AO33" s="2"/>
      <c r="AP33" s="48" t="n">
        <f aca="false">COUNTIF(G33:J33,"=x")</f>
        <v>1</v>
      </c>
      <c r="AQ33" s="48" t="n">
        <f aca="false">IF(AP33&gt;0,AVERAGE(AK33:AN33),"")</f>
        <v>3</v>
      </c>
      <c r="AR33" s="48" t="n">
        <f aca="false">IF(AND(AP33&gt;0,U33=1),AQ33*R33,"")</f>
        <v>12</v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M34" s="44"/>
      <c r="N34" s="43"/>
      <c r="O34" s="43"/>
      <c r="P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47</v>
      </c>
      <c r="D35" s="34" t="s">
        <v>48</v>
      </c>
      <c r="E35" s="94" t="s">
        <v>52</v>
      </c>
      <c r="F35" s="34"/>
      <c r="G35" s="41"/>
      <c r="H35" s="41"/>
      <c r="I35" s="41"/>
      <c r="J35" s="59" t="s">
        <v>22</v>
      </c>
      <c r="K35" s="43"/>
      <c r="L35" s="43"/>
      <c r="M35" s="44" t="str">
        <f aca="false">IF(AND(U35=1,N35="",AR35&gt;0,AR35&lt;&gt;""),"TODO !","")</f>
        <v/>
      </c>
      <c r="N35" s="60" t="n">
        <v>14</v>
      </c>
      <c r="O35" s="61" t="s">
        <v>27</v>
      </c>
      <c r="P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n">
        <f aca="false">IF(U35=1,AR35,"")</f>
        <v>3</v>
      </c>
      <c r="Z35" s="50"/>
      <c r="AA35" s="50"/>
      <c r="AB35" s="50"/>
      <c r="AC35" s="50"/>
      <c r="AD35" s="50"/>
      <c r="AE35" s="73"/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n">
        <f aca="false">IF(J35="x",AN$4,"")</f>
        <v>3</v>
      </c>
      <c r="AO35" s="2"/>
      <c r="AP35" s="48" t="n">
        <f aca="false">COUNTIF(G35:J35,"=x")</f>
        <v>1</v>
      </c>
      <c r="AQ35" s="48" t="n">
        <f aca="false">IF(AP35&gt;0,AVERAGE(AK35:AN35),"")</f>
        <v>3</v>
      </c>
      <c r="AR35" s="48" t="n">
        <f aca="false">IF(AND(AP35&gt;0,U35=1),AQ35*R35,"")</f>
        <v>3</v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48</v>
      </c>
      <c r="E36" s="94" t="s">
        <v>53</v>
      </c>
      <c r="F36" s="34"/>
      <c r="G36" s="41"/>
      <c r="H36" s="41"/>
      <c r="I36" s="41"/>
      <c r="J36" s="59" t="s">
        <v>22</v>
      </c>
      <c r="K36" s="43"/>
      <c r="L36" s="43"/>
      <c r="M36" s="44" t="str">
        <f aca="false">IF(AND(U36=1,N36="",AR36&gt;0,AR36&lt;&gt;""),"TODO !","")</f>
        <v/>
      </c>
      <c r="N36" s="60" t="n">
        <v>12</v>
      </c>
      <c r="O36" s="61" t="s">
        <v>27</v>
      </c>
      <c r="P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n">
        <f aca="false">IF(U36=1,AR36,"")</f>
        <v>6</v>
      </c>
      <c r="Z36" s="50"/>
      <c r="AA36" s="50"/>
      <c r="AB36" s="50"/>
      <c r="AC36" s="50"/>
      <c r="AD36" s="50"/>
      <c r="AE36" s="73"/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n">
        <f aca="false">IF(J36="x",AN$4,"")</f>
        <v>3</v>
      </c>
      <c r="AO36" s="2"/>
      <c r="AP36" s="48" t="n">
        <f aca="false">COUNTIF(G36:J36,"=x")</f>
        <v>1</v>
      </c>
      <c r="AQ36" s="48" t="n">
        <f aca="false">IF(AP36&gt;0,AVERAGE(AK36:AN36),"")</f>
        <v>3</v>
      </c>
      <c r="AR36" s="48" t="n">
        <f aca="false">IF(AND(AP36&gt;0,U36=1),AQ36*R36,"")</f>
        <v>6</v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M37" s="44"/>
      <c r="N37" s="43"/>
      <c r="O37" s="43"/>
      <c r="P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54</v>
      </c>
      <c r="D38" s="34" t="s">
        <v>48</v>
      </c>
      <c r="E38" s="93" t="s">
        <v>49</v>
      </c>
      <c r="F38" s="50"/>
      <c r="G38" s="41"/>
      <c r="H38" s="41"/>
      <c r="I38" s="42"/>
      <c r="J38" s="41" t="s">
        <v>22</v>
      </c>
      <c r="K38" s="43"/>
      <c r="L38" s="43"/>
      <c r="M38" s="44"/>
      <c r="N38" s="43"/>
      <c r="O38" s="43"/>
      <c r="P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n">
        <f aca="false">IF(U38=1,AR38,"")</f>
        <v>3</v>
      </c>
      <c r="Z38" s="50"/>
      <c r="AA38" s="50"/>
      <c r="AB38" s="50"/>
      <c r="AC38" s="50"/>
      <c r="AD38" s="50"/>
      <c r="AE38" s="73"/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n">
        <f aca="false">IF(J38="x",AN$4,"")</f>
        <v>3</v>
      </c>
      <c r="AO38" s="2"/>
      <c r="AP38" s="48" t="n">
        <f aca="false">COUNTIF(G38:J38,"=x")</f>
        <v>1</v>
      </c>
      <c r="AQ38" s="48" t="n">
        <f aca="false">IF(AP38&gt;0,AVERAGE(AK38:AN38),"")</f>
        <v>3</v>
      </c>
      <c r="AR38" s="48" t="n">
        <f aca="false">IF(AND(AP38&gt;0,U38=1),AQ38*R38,"")</f>
        <v>3</v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48</v>
      </c>
      <c r="E39" s="93" t="s">
        <v>51</v>
      </c>
      <c r="F39" s="50"/>
      <c r="G39" s="41"/>
      <c r="H39" s="41"/>
      <c r="I39" s="42"/>
      <c r="J39" s="41" t="s">
        <v>22</v>
      </c>
      <c r="K39" s="43"/>
      <c r="L39" s="43"/>
      <c r="M39" s="44"/>
      <c r="N39" s="43"/>
      <c r="O39" s="43"/>
      <c r="P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n">
        <f aca="false">IF(U39=1,AR39,"")</f>
        <v>12</v>
      </c>
      <c r="Z39" s="50"/>
      <c r="AA39" s="50"/>
      <c r="AB39" s="50"/>
      <c r="AC39" s="50"/>
      <c r="AD39" s="50"/>
      <c r="AE39" s="73"/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n">
        <f aca="false">IF(J39="x",AN$4,"")</f>
        <v>3</v>
      </c>
      <c r="AO39" s="2"/>
      <c r="AP39" s="48" t="n">
        <f aca="false">COUNTIF(G39:J39,"=x")</f>
        <v>1</v>
      </c>
      <c r="AQ39" s="48" t="n">
        <f aca="false">IF(AP39&gt;0,AVERAGE(AK39:AN39),"")</f>
        <v>3</v>
      </c>
      <c r="AR39" s="48" t="n">
        <f aca="false">IF(AND(AP39&gt;0,U39=1),AQ39*R39,"")</f>
        <v>12</v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55</v>
      </c>
      <c r="E40" s="93" t="s">
        <v>51</v>
      </c>
      <c r="F40" s="50"/>
      <c r="G40" s="41"/>
      <c r="H40" s="41"/>
      <c r="I40" s="42"/>
      <c r="J40" s="41" t="s">
        <v>22</v>
      </c>
      <c r="K40" s="43"/>
      <c r="L40" s="43"/>
      <c r="M40" s="44"/>
      <c r="N40" s="43"/>
      <c r="O40" s="43"/>
      <c r="P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n">
        <f aca="false">IF(U40=1,AR40,"")</f>
        <v>6</v>
      </c>
      <c r="Z40" s="50"/>
      <c r="AA40" s="50"/>
      <c r="AB40" s="50"/>
      <c r="AC40" s="50"/>
      <c r="AD40" s="50"/>
      <c r="AE40" s="73"/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n">
        <f aca="false">IF(J40="x",AN$4,"")</f>
        <v>3</v>
      </c>
      <c r="AO40" s="2"/>
      <c r="AP40" s="48" t="n">
        <f aca="false">COUNTIF(G40:J40,"=x")</f>
        <v>1</v>
      </c>
      <c r="AQ40" s="48" t="n">
        <f aca="false">IF(AP40&gt;0,AVERAGE(AK40:AN40),"")</f>
        <v>3</v>
      </c>
      <c r="AR40" s="48" t="n">
        <f aca="false">IF(AND(AP40&gt;0,U40=1),AQ40*R40,"")</f>
        <v>6</v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M41" s="44"/>
      <c r="N41" s="43"/>
      <c r="O41" s="43"/>
      <c r="P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54</v>
      </c>
      <c r="D42" s="34" t="s">
        <v>48</v>
      </c>
      <c r="E42" s="94" t="s">
        <v>52</v>
      </c>
      <c r="F42" s="34"/>
      <c r="G42" s="41"/>
      <c r="H42" s="41"/>
      <c r="I42" s="41"/>
      <c r="J42" s="59" t="s">
        <v>22</v>
      </c>
      <c r="K42" s="43"/>
      <c r="L42" s="43"/>
      <c r="M42" s="44" t="str">
        <f aca="false">IF(AND(U42=1,N42="",AR42&gt;0,AR42&lt;&gt;""),"TODO !","")</f>
        <v/>
      </c>
      <c r="N42" s="60" t="n">
        <v>14</v>
      </c>
      <c r="O42" s="61" t="s">
        <v>27</v>
      </c>
      <c r="P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n">
        <f aca="false">IF(U42=1,AR42,"")</f>
        <v>3</v>
      </c>
      <c r="Z42" s="50"/>
      <c r="AA42" s="50"/>
      <c r="AB42" s="50"/>
      <c r="AC42" s="50"/>
      <c r="AD42" s="50"/>
      <c r="AE42" s="73"/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n">
        <f aca="false">IF(J42="x",AN$4,"")</f>
        <v>3</v>
      </c>
      <c r="AO42" s="2"/>
      <c r="AP42" s="48" t="n">
        <f aca="false">COUNTIF(G42:J42,"=x")</f>
        <v>1</v>
      </c>
      <c r="AQ42" s="48" t="n">
        <f aca="false">IF(AP42&gt;0,AVERAGE(AK42:AN42),"")</f>
        <v>3</v>
      </c>
      <c r="AR42" s="48" t="n">
        <f aca="false">IF(AND(AP42&gt;0,U42=1),AQ42*R42,"")</f>
        <v>3</v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48</v>
      </c>
      <c r="E43" s="94" t="s">
        <v>53</v>
      </c>
      <c r="F43" s="34"/>
      <c r="G43" s="41"/>
      <c r="H43" s="41"/>
      <c r="I43" s="41"/>
      <c r="J43" s="59" t="s">
        <v>22</v>
      </c>
      <c r="K43" s="43"/>
      <c r="L43" s="43"/>
      <c r="M43" s="44" t="str">
        <f aca="false">IF(AND(U43=1,N43="",AR43&gt;0,AR43&lt;&gt;""),"TODO !","")</f>
        <v/>
      </c>
      <c r="N43" s="60" t="n">
        <v>12</v>
      </c>
      <c r="O43" s="61" t="s">
        <v>27</v>
      </c>
      <c r="P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n">
        <f aca="false">IF(U43=1,AR43,"")</f>
        <v>6</v>
      </c>
      <c r="Z43" s="50"/>
      <c r="AA43" s="50"/>
      <c r="AB43" s="50"/>
      <c r="AC43" s="50"/>
      <c r="AD43" s="50"/>
      <c r="AE43" s="73"/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n">
        <f aca="false">IF(J43="x",AN$4,"")</f>
        <v>3</v>
      </c>
      <c r="AO43" s="2"/>
      <c r="AP43" s="48" t="n">
        <f aca="false">COUNTIF(G43:J43,"=x")</f>
        <v>1</v>
      </c>
      <c r="AQ43" s="48" t="n">
        <f aca="false">IF(AP43&gt;0,AVERAGE(AK43:AN43),"")</f>
        <v>3</v>
      </c>
      <c r="AR43" s="48" t="n">
        <f aca="false">IF(AND(AP43&gt;0,U43=1),AQ43*R43,"")</f>
        <v>6</v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55</v>
      </c>
      <c r="E44" s="97" t="s">
        <v>53</v>
      </c>
      <c r="F44" s="34"/>
      <c r="G44" s="41"/>
      <c r="H44" s="41"/>
      <c r="I44" s="41"/>
      <c r="J44" s="59" t="s">
        <v>22</v>
      </c>
      <c r="K44" s="43"/>
      <c r="L44" s="43"/>
      <c r="M44" s="44" t="str">
        <f aca="false">IF(AND(U44=1,N44="",AR44&gt;0,AR44&lt;&gt;""),"TODO !","")</f>
        <v/>
      </c>
      <c r="N44" s="60" t="n">
        <v>98</v>
      </c>
      <c r="O44" s="61" t="s">
        <v>27</v>
      </c>
      <c r="P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n">
        <f aca="false">IF(U44=1,AR44,"")</f>
        <v>12</v>
      </c>
      <c r="Z44" s="50"/>
      <c r="AA44" s="50"/>
      <c r="AB44" s="50"/>
      <c r="AC44" s="50"/>
      <c r="AD44" s="50"/>
      <c r="AE44" s="73"/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n">
        <f aca="false">IF(J44="x",AN$4,"")</f>
        <v>3</v>
      </c>
      <c r="AO44" s="2"/>
      <c r="AP44" s="48" t="n">
        <f aca="false">COUNTIF(G44:J44,"=x")</f>
        <v>1</v>
      </c>
      <c r="AQ44" s="48" t="n">
        <f aca="false">IF(AP44&gt;0,AVERAGE(AK44:AN44),"")</f>
        <v>3</v>
      </c>
      <c r="AR44" s="48" t="n">
        <f aca="false">IF(AND(AP44&gt;0,U44=1),AQ44*R44,"")</f>
        <v>12</v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M45" s="44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80"/>
      <c r="AD45" s="80"/>
      <c r="AE45" s="73"/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M46" s="44"/>
      <c r="O46" s="98"/>
      <c r="P46" s="26" t="s">
        <v>28</v>
      </c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80"/>
      <c r="AD46" s="80"/>
      <c r="AE46" s="73"/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56</v>
      </c>
      <c r="C47" s="38" t="s">
        <v>57</v>
      </c>
      <c r="D47" s="39"/>
      <c r="E47" s="92" t="s">
        <v>58</v>
      </c>
      <c r="F47" s="34"/>
      <c r="G47" s="41"/>
      <c r="H47" s="41"/>
      <c r="I47" s="42"/>
      <c r="J47" s="41" t="s">
        <v>22</v>
      </c>
      <c r="K47" s="43"/>
      <c r="L47" s="43"/>
      <c r="M47" s="44" t="str">
        <f aca="false">IF(AND(U47=1,N47="",AR47&gt;0,AR47&lt;&gt;""),"TODO !","")</f>
        <v/>
      </c>
      <c r="N47" s="45" t="n">
        <v>4570</v>
      </c>
      <c r="O47" s="46" t="s">
        <v>23</v>
      </c>
      <c r="P47" s="72" t="n">
        <v>1</v>
      </c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n">
        <f aca="false">IF(U47=1,AR47,"")</f>
        <v>12</v>
      </c>
      <c r="Z47" s="50"/>
      <c r="AA47" s="50"/>
      <c r="AB47" s="50"/>
      <c r="AC47" s="50"/>
      <c r="AD47" s="50"/>
      <c r="AE47" s="73"/>
      <c r="AG47" s="53" t="s">
        <v>59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n">
        <f aca="false">IF(J47="x",AN$4,"")</f>
        <v>3</v>
      </c>
      <c r="AO47" s="2"/>
      <c r="AP47" s="48" t="n">
        <f aca="false">COUNTIF(G47:J47,"=x")</f>
        <v>1</v>
      </c>
      <c r="AQ47" s="48" t="n">
        <f aca="false">IF(AP47&gt;0,AVERAGE(AK47:AN47),"")</f>
        <v>3</v>
      </c>
      <c r="AR47" s="48" t="n">
        <f aca="false">IF(AND(AP47&gt;0,U47=1),AQ47*R47,"")</f>
        <v>12</v>
      </c>
      <c r="AS47" s="2"/>
      <c r="AT47" s="48" t="n">
        <f aca="false">AI47*3</f>
        <v>12</v>
      </c>
      <c r="AV47" s="54" t="n">
        <f aca="false">SUM(AR47:AR53)</f>
        <v>66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60</v>
      </c>
      <c r="D48" s="34"/>
      <c r="E48" s="93" t="s">
        <v>58</v>
      </c>
      <c r="F48" s="34"/>
      <c r="G48" s="41"/>
      <c r="H48" s="41"/>
      <c r="I48" s="42"/>
      <c r="J48" s="41" t="s">
        <v>22</v>
      </c>
      <c r="K48" s="43"/>
      <c r="L48" s="43"/>
      <c r="M48" s="44" t="str">
        <f aca="false">IF(AND(U48=1,N48="",AR48&gt;0,AR48&lt;&gt;""),"TODO !","")</f>
        <v/>
      </c>
      <c r="N48" s="45" t="n">
        <v>17357</v>
      </c>
      <c r="O48" s="46" t="s">
        <v>23</v>
      </c>
      <c r="P48" s="83" t="n">
        <f aca="false">IF(N48&lt;&gt;"",$N$48/N47,"")</f>
        <v>3.7980306345733</v>
      </c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n">
        <f aca="false">IF(U48=1,AR48,"")</f>
        <v>15</v>
      </c>
      <c r="Z48" s="50"/>
      <c r="AA48" s="50"/>
      <c r="AB48" s="50"/>
      <c r="AC48" s="50"/>
      <c r="AD48" s="50"/>
      <c r="AE48" s="73"/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n">
        <f aca="false">IF(J48="x",AN$4,"")</f>
        <v>3</v>
      </c>
      <c r="AO48" s="2"/>
      <c r="AP48" s="48" t="n">
        <f aca="false">COUNTIF(G48:J48,"=x")</f>
        <v>1</v>
      </c>
      <c r="AQ48" s="48" t="n">
        <f aca="false">IF(AP48&gt;0,AVERAGE(AK48:AN48),"")</f>
        <v>3</v>
      </c>
      <c r="AR48" s="48" t="n">
        <f aca="false">IF(AND(AP48&gt;0,U48=1),AQ48*R48,"")</f>
        <v>15</v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61</v>
      </c>
      <c r="D49" s="34"/>
      <c r="E49" s="93" t="s">
        <v>58</v>
      </c>
      <c r="F49" s="34"/>
      <c r="G49" s="41"/>
      <c r="H49" s="41"/>
      <c r="I49" s="42"/>
      <c r="J49" s="41" t="s">
        <v>22</v>
      </c>
      <c r="K49" s="43"/>
      <c r="L49" s="43"/>
      <c r="M49" s="44" t="str">
        <f aca="false">IF(AND(U49=1,N49="",AR49&gt;0,AR49&lt;&gt;""),"TODO !","")</f>
        <v/>
      </c>
      <c r="N49" s="45" t="n">
        <v>29277</v>
      </c>
      <c r="O49" s="46" t="s">
        <v>23</v>
      </c>
      <c r="P49" s="83" t="n">
        <f aca="false">IF(N49&lt;&gt;"",$N$49/N47,"")</f>
        <v>6.40634573304158</v>
      </c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n">
        <f aca="false">IF(U49=1,AR49,"")</f>
        <v>21</v>
      </c>
      <c r="Z49" s="50"/>
      <c r="AA49" s="50"/>
      <c r="AB49" s="50"/>
      <c r="AC49" s="50"/>
      <c r="AD49" s="50"/>
      <c r="AE49" s="73"/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n">
        <f aca="false">IF(J49="x",AN$4,"")</f>
        <v>3</v>
      </c>
      <c r="AO49" s="2"/>
      <c r="AP49" s="48" t="n">
        <f aca="false">COUNTIF(G49:J49,"=x")</f>
        <v>1</v>
      </c>
      <c r="AQ49" s="48" t="n">
        <f aca="false">IF(AP49&gt;0,AVERAGE(AK49:AN49),"")</f>
        <v>3</v>
      </c>
      <c r="AR49" s="48" t="n">
        <f aca="false">IF(AND(AP49&gt;0,U49=1),AQ49*R49,"")</f>
        <v>21</v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M50" s="44"/>
      <c r="N50" s="64"/>
      <c r="O50" s="100"/>
      <c r="P50" s="26" t="s">
        <v>28</v>
      </c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57</v>
      </c>
      <c r="D51" s="34"/>
      <c r="E51" s="76" t="s">
        <v>37</v>
      </c>
      <c r="F51" s="34"/>
      <c r="G51" s="41"/>
      <c r="H51" s="41"/>
      <c r="I51" s="41"/>
      <c r="J51" s="59" t="s">
        <v>22</v>
      </c>
      <c r="K51" s="43"/>
      <c r="L51" s="43"/>
      <c r="M51" s="44" t="str">
        <f aca="false">IF(AND(U51=1,N51="",AR51&gt;0,AR51&lt;&gt;""),"TODO !","")</f>
        <v/>
      </c>
      <c r="N51" s="60" t="n">
        <v>16</v>
      </c>
      <c r="O51" s="61" t="s">
        <v>27</v>
      </c>
      <c r="P51" s="101" t="n">
        <v>1</v>
      </c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n">
        <f aca="false">IF(U51=1,AR51,"")</f>
        <v>6</v>
      </c>
      <c r="Z51" s="50"/>
      <c r="AA51" s="50"/>
      <c r="AB51" s="50"/>
      <c r="AC51" s="50"/>
      <c r="AD51" s="50"/>
      <c r="AE51" s="73"/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n">
        <f aca="false">IF(J51="x",AN$4,"")</f>
        <v>3</v>
      </c>
      <c r="AO51" s="2"/>
      <c r="AP51" s="48" t="n">
        <f aca="false">COUNTIF(G51:J51,"=x")</f>
        <v>1</v>
      </c>
      <c r="AQ51" s="48" t="n">
        <f aca="false">IF(AP51&gt;0,AVERAGE(AK51:AN51),"")</f>
        <v>3</v>
      </c>
      <c r="AR51" s="48" t="n">
        <f aca="false">IF(AND(AP51&gt;0,U51=1),AQ51*R51,"")</f>
        <v>6</v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60</v>
      </c>
      <c r="D52" s="34"/>
      <c r="E52" s="76"/>
      <c r="F52" s="34"/>
      <c r="G52" s="41"/>
      <c r="H52" s="41"/>
      <c r="I52" s="41"/>
      <c r="J52" s="59" t="s">
        <v>22</v>
      </c>
      <c r="K52" s="43"/>
      <c r="L52" s="43"/>
      <c r="M52" s="44" t="str">
        <f aca="false">IF(AND(U52=1,N52="",AR52&gt;0,AR52&lt;&gt;""),"TODO !","")</f>
        <v/>
      </c>
      <c r="N52" s="60" t="n">
        <v>13</v>
      </c>
      <c r="O52" s="61" t="s">
        <v>27</v>
      </c>
      <c r="P52" s="51" t="n">
        <f aca="false">IF(N52&lt;&gt;"",$N$51/N52,"")</f>
        <v>1.23076923076923</v>
      </c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n">
        <f aca="false">IF(U52=1,AR52,"")</f>
        <v>6</v>
      </c>
      <c r="Z52" s="50"/>
      <c r="AA52" s="50"/>
      <c r="AB52" s="50"/>
      <c r="AC52" s="50"/>
      <c r="AD52" s="50"/>
      <c r="AE52" s="73"/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n">
        <f aca="false">IF(J52="x",AN$4,"")</f>
        <v>3</v>
      </c>
      <c r="AO52" s="2"/>
      <c r="AP52" s="48" t="n">
        <f aca="false">COUNTIF(G52:J52,"=x")</f>
        <v>1</v>
      </c>
      <c r="AQ52" s="48" t="n">
        <f aca="false">IF(AP52&gt;0,AVERAGE(AK52:AN52),"")</f>
        <v>3</v>
      </c>
      <c r="AR52" s="48" t="n">
        <f aca="false">IF(AND(AP52&gt;0,U52=1),AQ52*R52,"")</f>
        <v>6</v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61</v>
      </c>
      <c r="D53" s="56"/>
      <c r="E53" s="76"/>
      <c r="F53" s="34"/>
      <c r="G53" s="41"/>
      <c r="H53" s="41"/>
      <c r="I53" s="41"/>
      <c r="J53" s="59" t="s">
        <v>22</v>
      </c>
      <c r="K53" s="43"/>
      <c r="L53" s="43"/>
      <c r="M53" s="44" t="str">
        <f aca="false">IF(AND(U53=1,N53="",AR53&gt;0,AR53&lt;&gt;""),"TODO !","")</f>
        <v/>
      </c>
      <c r="N53" s="60" t="n">
        <v>9</v>
      </c>
      <c r="O53" s="61" t="s">
        <v>27</v>
      </c>
      <c r="P53" s="51" t="n">
        <f aca="false">IF(N53&lt;&gt;"",$N$51/N53,"")</f>
        <v>1.77777777777778</v>
      </c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n">
        <f aca="false">IF(U53=1,AR53,"")</f>
        <v>6</v>
      </c>
      <c r="Z53" s="50"/>
      <c r="AA53" s="50"/>
      <c r="AB53" s="50"/>
      <c r="AC53" s="50"/>
      <c r="AD53" s="50"/>
      <c r="AE53" s="73"/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n">
        <f aca="false">IF(J53="x",AN$4,"")</f>
        <v>3</v>
      </c>
      <c r="AO53" s="2"/>
      <c r="AP53" s="48" t="n">
        <f aca="false">COUNTIF(G53:J53,"=x")</f>
        <v>1</v>
      </c>
      <c r="AQ53" s="48" t="n">
        <f aca="false">IF(AP53&gt;0,AVERAGE(AK53:AN53),"")</f>
        <v>3</v>
      </c>
      <c r="AR53" s="48" t="n">
        <f aca="false">IF(AND(AP53&gt;0,U53=1),AQ53*R53,"")</f>
        <v>6</v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M54" s="44"/>
      <c r="N54" s="103"/>
      <c r="O54" s="104"/>
      <c r="P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M55" s="44"/>
      <c r="N55" s="43"/>
      <c r="O55" s="104"/>
      <c r="P55" s="26" t="s">
        <v>28</v>
      </c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62</v>
      </c>
      <c r="C56" s="38" t="s">
        <v>63</v>
      </c>
      <c r="D56" s="39"/>
      <c r="E56" s="92" t="s">
        <v>58</v>
      </c>
      <c r="F56" s="34"/>
      <c r="G56" s="41"/>
      <c r="H56" s="41"/>
      <c r="I56" s="42"/>
      <c r="J56" s="41"/>
      <c r="K56" s="43"/>
      <c r="L56" s="43"/>
      <c r="M56" s="44" t="str">
        <f aca="false">IF(AND(U56=1,N56="",AR56&gt;0,AR56&lt;&gt;""),"TODO !","")</f>
        <v/>
      </c>
      <c r="N56" s="108"/>
      <c r="O56" s="109" t="s">
        <v>64</v>
      </c>
      <c r="P56" s="72" t="n">
        <v>1</v>
      </c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50"/>
      <c r="AB56" s="50"/>
      <c r="AC56" s="50"/>
      <c r="AD56" s="50"/>
      <c r="AE56" s="73"/>
      <c r="AG56" s="53" t="s">
        <v>65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63</v>
      </c>
      <c r="D57" s="21" t="s">
        <v>66</v>
      </c>
      <c r="E57" s="93" t="s">
        <v>58</v>
      </c>
      <c r="F57" s="34"/>
      <c r="G57" s="41"/>
      <c r="H57" s="41"/>
      <c r="I57" s="42"/>
      <c r="J57" s="41"/>
      <c r="K57" s="43"/>
      <c r="L57" s="43"/>
      <c r="M57" s="44" t="str">
        <f aca="false">IF(AND(U57=1,N57="",AR57&gt;0,AR57&lt;&gt;""),"TODO !","")</f>
        <v/>
      </c>
      <c r="N57" s="108"/>
      <c r="O57" s="109" t="s">
        <v>64</v>
      </c>
      <c r="P57" s="110" t="str">
        <f aca="false">IF(N57&lt;&gt;"",N57/$N$56,"")</f>
        <v/>
      </c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50"/>
      <c r="AB57" s="50"/>
      <c r="AC57" s="50"/>
      <c r="AD57" s="50"/>
      <c r="AE57" s="73"/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63</v>
      </c>
      <c r="D58" s="21" t="s">
        <v>67</v>
      </c>
      <c r="E58" s="93" t="s">
        <v>58</v>
      </c>
      <c r="F58" s="34"/>
      <c r="G58" s="41"/>
      <c r="H58" s="41"/>
      <c r="I58" s="42"/>
      <c r="J58" s="41"/>
      <c r="K58" s="43"/>
      <c r="L58" s="43"/>
      <c r="M58" s="44" t="str">
        <f aca="false">IF(AND(U58=1,N58="",AR58&gt;0,AR58&lt;&gt;""),"TODO !","")</f>
        <v/>
      </c>
      <c r="N58" s="108"/>
      <c r="O58" s="109" t="s">
        <v>64</v>
      </c>
      <c r="P58" s="110" t="str">
        <f aca="false">IF(N58&lt;&gt;"",N58/$N$56,"")</f>
        <v/>
      </c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50"/>
      <c r="AB58" s="50"/>
      <c r="AC58" s="50"/>
      <c r="AD58" s="50"/>
      <c r="AE58" s="73"/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M59" s="44"/>
      <c r="N59" s="64"/>
      <c r="O59" s="109"/>
      <c r="P59" s="26" t="s">
        <v>28</v>
      </c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68</v>
      </c>
      <c r="D60" s="34"/>
      <c r="E60" s="93" t="s">
        <v>58</v>
      </c>
      <c r="F60" s="34"/>
      <c r="G60" s="41"/>
      <c r="H60" s="41"/>
      <c r="I60" s="42"/>
      <c r="J60" s="41"/>
      <c r="K60" s="43"/>
      <c r="L60" s="43"/>
      <c r="M60" s="44" t="str">
        <f aca="false">IF(AND(U60=1,N60="",AR60&gt;0,AR60&lt;&gt;""),"TODO !","")</f>
        <v/>
      </c>
      <c r="N60" s="108"/>
      <c r="O60" s="109" t="s">
        <v>64</v>
      </c>
      <c r="P60" s="72" t="n">
        <v>1</v>
      </c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50"/>
      <c r="AB60" s="50"/>
      <c r="AC60" s="50"/>
      <c r="AD60" s="50"/>
      <c r="AE60" s="73"/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68</v>
      </c>
      <c r="D61" s="21" t="s">
        <v>66</v>
      </c>
      <c r="E61" s="93" t="s">
        <v>58</v>
      </c>
      <c r="F61" s="34"/>
      <c r="G61" s="41"/>
      <c r="H61" s="41"/>
      <c r="I61" s="42"/>
      <c r="J61" s="41"/>
      <c r="K61" s="43"/>
      <c r="L61" s="43"/>
      <c r="M61" s="44" t="str">
        <f aca="false">IF(AND(U61=1,N61="",AR61&gt;0,AR61&lt;&gt;""),"TODO !","")</f>
        <v/>
      </c>
      <c r="N61" s="108"/>
      <c r="O61" s="109" t="s">
        <v>64</v>
      </c>
      <c r="P61" s="110" t="str">
        <f aca="false">IF(N61&lt;&gt;"",N61/$N$60,"")</f>
        <v/>
      </c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50"/>
      <c r="AB61" s="50"/>
      <c r="AC61" s="50"/>
      <c r="AD61" s="50"/>
      <c r="AE61" s="73"/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68</v>
      </c>
      <c r="D62" s="21" t="s">
        <v>67</v>
      </c>
      <c r="E62" s="93" t="s">
        <v>58</v>
      </c>
      <c r="F62" s="34"/>
      <c r="G62" s="41"/>
      <c r="H62" s="41"/>
      <c r="I62" s="42"/>
      <c r="J62" s="41"/>
      <c r="K62" s="43"/>
      <c r="L62" s="43"/>
      <c r="M62" s="44" t="str">
        <f aca="false">IF(AND(U62=1,N62="",AR62&gt;0,AR62&lt;&gt;""),"TODO !","")</f>
        <v/>
      </c>
      <c r="N62" s="108"/>
      <c r="O62" s="109" t="s">
        <v>64</v>
      </c>
      <c r="P62" s="110" t="str">
        <f aca="false">IF(N62&lt;&gt;"",N62/$N$60,"")</f>
        <v/>
      </c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50"/>
      <c r="AB62" s="50"/>
      <c r="AC62" s="50"/>
      <c r="AD62" s="50"/>
      <c r="AE62" s="73"/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M63" s="44"/>
      <c r="N63" s="64"/>
      <c r="O63" s="104"/>
      <c r="P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IF(AND(J63="x",AE63=""),"TODO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63</v>
      </c>
      <c r="D64" s="34"/>
      <c r="E64" s="76" t="s">
        <v>37</v>
      </c>
      <c r="F64" s="34"/>
      <c r="G64" s="41"/>
      <c r="H64" s="41"/>
      <c r="I64" s="41"/>
      <c r="J64" s="59"/>
      <c r="K64" s="43"/>
      <c r="L64" s="43"/>
      <c r="M64" s="44" t="str">
        <f aca="false">IF(AND(U64=1,N64="",AR64&gt;0,AR64&lt;&gt;""),"TODO !","")</f>
        <v/>
      </c>
      <c r="N64" s="111"/>
      <c r="O64" s="61" t="s">
        <v>27</v>
      </c>
      <c r="P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50"/>
      <c r="AB64" s="50"/>
      <c r="AC64" s="50"/>
      <c r="AD64" s="50"/>
      <c r="AE64" s="73"/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63</v>
      </c>
      <c r="D65" s="21" t="s">
        <v>66</v>
      </c>
      <c r="E65" s="76"/>
      <c r="F65" s="34"/>
      <c r="G65" s="41"/>
      <c r="H65" s="41"/>
      <c r="I65" s="41"/>
      <c r="J65" s="59"/>
      <c r="K65" s="43"/>
      <c r="L65" s="43"/>
      <c r="M65" s="44" t="str">
        <f aca="false">IF(AND(U65=1,N65="",AR65&gt;0,AR65&lt;&gt;""),"TODO !","")</f>
        <v/>
      </c>
      <c r="N65" s="111"/>
      <c r="O65" s="61" t="s">
        <v>27</v>
      </c>
      <c r="P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50"/>
      <c r="AB65" s="50"/>
      <c r="AC65" s="50"/>
      <c r="AD65" s="50"/>
      <c r="AE65" s="73"/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63</v>
      </c>
      <c r="D66" s="21" t="s">
        <v>67</v>
      </c>
      <c r="E66" s="76"/>
      <c r="F66" s="34"/>
      <c r="G66" s="41"/>
      <c r="H66" s="41"/>
      <c r="I66" s="41"/>
      <c r="J66" s="59"/>
      <c r="K66" s="43"/>
      <c r="L66" s="43"/>
      <c r="M66" s="44" t="str">
        <f aca="false">IF(AND(U66=1,N66="",AR66&gt;0,AR66&lt;&gt;""),"TODO !","")</f>
        <v/>
      </c>
      <c r="N66" s="111"/>
      <c r="O66" s="61" t="s">
        <v>27</v>
      </c>
      <c r="P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50"/>
      <c r="AB66" s="50"/>
      <c r="AC66" s="50"/>
      <c r="AD66" s="50"/>
      <c r="AE66" s="73"/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M67" s="44" t="str">
        <f aca="false">IF(AND(U67=1,N67="",AR67&gt;0,AR67&lt;&gt;""),"TODO !","")</f>
        <v/>
      </c>
      <c r="N67" s="112"/>
      <c r="O67" s="104"/>
      <c r="P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68</v>
      </c>
      <c r="D68" s="34"/>
      <c r="E68" s="76" t="s">
        <v>37</v>
      </c>
      <c r="F68" s="34"/>
      <c r="G68" s="41"/>
      <c r="H68" s="41"/>
      <c r="I68" s="41"/>
      <c r="J68" s="59"/>
      <c r="K68" s="43"/>
      <c r="L68" s="43"/>
      <c r="M68" s="44" t="str">
        <f aca="false">IF(AND(U68=1,N68="",AR68&gt;0,AR68&lt;&gt;""),"TODO !","")</f>
        <v/>
      </c>
      <c r="N68" s="111"/>
      <c r="O68" s="61" t="s">
        <v>27</v>
      </c>
      <c r="P68" s="110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50"/>
      <c r="AB68" s="50"/>
      <c r="AC68" s="50"/>
      <c r="AD68" s="50"/>
      <c r="AE68" s="73"/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68</v>
      </c>
      <c r="D69" s="21" t="s">
        <v>66</v>
      </c>
      <c r="E69" s="76"/>
      <c r="F69" s="34"/>
      <c r="G69" s="41"/>
      <c r="H69" s="41"/>
      <c r="I69" s="41"/>
      <c r="J69" s="59"/>
      <c r="K69" s="43"/>
      <c r="L69" s="43"/>
      <c r="M69" s="44" t="str">
        <f aca="false">IF(AND(U69=1,N69="",AR69&gt;0,AR69&lt;&gt;""),"TODO !","")</f>
        <v/>
      </c>
      <c r="N69" s="111"/>
      <c r="O69" s="61" t="s">
        <v>27</v>
      </c>
      <c r="P69" s="110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50"/>
      <c r="AB69" s="50"/>
      <c r="AC69" s="50"/>
      <c r="AD69" s="50"/>
      <c r="AE69" s="73"/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68</v>
      </c>
      <c r="D70" s="113" t="s">
        <v>67</v>
      </c>
      <c r="E70" s="76"/>
      <c r="F70" s="34"/>
      <c r="G70" s="41"/>
      <c r="H70" s="41"/>
      <c r="I70" s="41"/>
      <c r="J70" s="59"/>
      <c r="K70" s="43"/>
      <c r="L70" s="43"/>
      <c r="M70" s="44" t="str">
        <f aca="false">IF(AND(U70=1,N70="",AR70&gt;0,AR70&lt;&gt;""),"TODO !","")</f>
        <v/>
      </c>
      <c r="N70" s="111"/>
      <c r="O70" s="61" t="s">
        <v>27</v>
      </c>
      <c r="P70" s="110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50"/>
      <c r="AB70" s="50"/>
      <c r="AC70" s="50"/>
      <c r="AD70" s="50"/>
      <c r="AE70" s="73"/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M71" s="44"/>
      <c r="N71" s="103"/>
      <c r="O71" s="103"/>
      <c r="P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IF(AND(J71="x",AE71=""),"TODO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M72" s="44"/>
      <c r="N72" s="103"/>
      <c r="O72" s="103"/>
      <c r="P72" s="26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69</v>
      </c>
      <c r="C73" s="38" t="s">
        <v>70</v>
      </c>
      <c r="D73" s="39"/>
      <c r="E73" s="92"/>
      <c r="F73" s="34"/>
      <c r="G73" s="41"/>
      <c r="H73" s="41"/>
      <c r="I73" s="42"/>
      <c r="J73" s="41"/>
      <c r="K73" s="43"/>
      <c r="L73" s="43"/>
      <c r="M73" s="44" t="str">
        <f aca="false">IF(AND(U73=1,N73="",AR73&gt;0,AR73&lt;&gt;""),"TODO !","")</f>
        <v/>
      </c>
      <c r="N73" s="45"/>
      <c r="O73" s="46" t="s">
        <v>23</v>
      </c>
      <c r="P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50"/>
      <c r="AB73" s="50"/>
      <c r="AC73" s="50"/>
      <c r="AD73" s="50"/>
      <c r="AE73" s="73"/>
      <c r="AG73" s="53" t="s">
        <v>71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72</v>
      </c>
      <c r="D74" s="34"/>
      <c r="E74" s="93"/>
      <c r="F74" s="34"/>
      <c r="G74" s="41"/>
      <c r="H74" s="41"/>
      <c r="I74" s="42"/>
      <c r="J74" s="41"/>
      <c r="K74" s="43"/>
      <c r="L74" s="43"/>
      <c r="M74" s="44" t="str">
        <f aca="false">IF(AND(U74=1,N74="",AR74&gt;0,AR74&lt;&gt;""),"TODO !","")</f>
        <v/>
      </c>
      <c r="N74" s="45"/>
      <c r="O74" s="46" t="s">
        <v>23</v>
      </c>
      <c r="P74" s="110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50"/>
      <c r="AB74" s="50"/>
      <c r="AC74" s="50"/>
      <c r="AD74" s="50"/>
      <c r="AE74" s="73"/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73</v>
      </c>
      <c r="D75" s="34"/>
      <c r="E75" s="115"/>
      <c r="F75" s="34"/>
      <c r="G75" s="41"/>
      <c r="H75" s="41"/>
      <c r="I75" s="42"/>
      <c r="J75" s="41"/>
      <c r="K75" s="43"/>
      <c r="L75" s="43"/>
      <c r="M75" s="44" t="str">
        <f aca="false">IF(AND(U75=1,N75="",AR75&gt;0,AR75&lt;&gt;""),"TODO !","")</f>
        <v/>
      </c>
      <c r="N75" s="45"/>
      <c r="O75" s="46" t="s">
        <v>23</v>
      </c>
      <c r="P75" s="110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50"/>
      <c r="AB75" s="50"/>
      <c r="AC75" s="50"/>
      <c r="AD75" s="50"/>
      <c r="AE75" s="73"/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74</v>
      </c>
      <c r="D76" s="34"/>
      <c r="E76" s="115"/>
      <c r="F76" s="34"/>
      <c r="G76" s="41"/>
      <c r="H76" s="41"/>
      <c r="I76" s="42"/>
      <c r="J76" s="41"/>
      <c r="K76" s="43"/>
      <c r="L76" s="43"/>
      <c r="M76" s="44" t="str">
        <f aca="false">IF(AND(U76=1,N76="",AR76&gt;0,AR76&lt;&gt;""),"TODO !","")</f>
        <v/>
      </c>
      <c r="N76" s="45"/>
      <c r="O76" s="46" t="s">
        <v>23</v>
      </c>
      <c r="P76" s="110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50"/>
      <c r="AB76" s="50"/>
      <c r="AC76" s="50"/>
      <c r="AD76" s="50"/>
      <c r="AE76" s="73"/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M77" s="44"/>
      <c r="N77" s="103"/>
      <c r="O77" s="103"/>
      <c r="P77" s="26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70</v>
      </c>
      <c r="D78" s="34"/>
      <c r="E78" s="118" t="s">
        <v>37</v>
      </c>
      <c r="F78" s="34"/>
      <c r="G78" s="119"/>
      <c r="H78" s="119"/>
      <c r="I78" s="119"/>
      <c r="J78" s="120"/>
      <c r="K78" s="43"/>
      <c r="L78" s="43"/>
      <c r="M78" s="44"/>
      <c r="N78" s="111"/>
      <c r="O78" s="61" t="s">
        <v>27</v>
      </c>
      <c r="P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50"/>
      <c r="AB78" s="50"/>
      <c r="AC78" s="50"/>
      <c r="AD78" s="50"/>
      <c r="AE78" s="73"/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72</v>
      </c>
      <c r="D79" s="34"/>
      <c r="E79" s="118"/>
      <c r="F79" s="34"/>
      <c r="G79" s="119"/>
      <c r="H79" s="119"/>
      <c r="I79" s="119"/>
      <c r="J79" s="120"/>
      <c r="K79" s="43"/>
      <c r="L79" s="43"/>
      <c r="M79" s="44" t="str">
        <f aca="false">IF(AND(U79=1,N79="",AR79&gt;0,AR79&lt;&gt;""),"TODO !","")</f>
        <v/>
      </c>
      <c r="N79" s="111"/>
      <c r="O79" s="61" t="s">
        <v>27</v>
      </c>
      <c r="P79" s="110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50"/>
      <c r="AB79" s="50"/>
      <c r="AC79" s="50"/>
      <c r="AD79" s="50"/>
      <c r="AE79" s="73"/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73</v>
      </c>
      <c r="D80" s="34"/>
      <c r="E80" s="118"/>
      <c r="F80" s="34"/>
      <c r="G80" s="119"/>
      <c r="H80" s="119"/>
      <c r="I80" s="119"/>
      <c r="J80" s="120"/>
      <c r="K80" s="43"/>
      <c r="L80" s="43"/>
      <c r="M80" s="44" t="str">
        <f aca="false">IF(AND(U80=1,N80="",AR80&gt;0,AR80&lt;&gt;""),"TODO !","")</f>
        <v/>
      </c>
      <c r="N80" s="111"/>
      <c r="O80" s="61" t="s">
        <v>27</v>
      </c>
      <c r="P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50"/>
      <c r="AB80" s="50"/>
      <c r="AC80" s="50"/>
      <c r="AD80" s="50"/>
      <c r="AE80" s="73"/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74</v>
      </c>
      <c r="D81" s="56"/>
      <c r="E81" s="118"/>
      <c r="F81" s="34"/>
      <c r="G81" s="119"/>
      <c r="H81" s="119"/>
      <c r="I81" s="119"/>
      <c r="J81" s="120"/>
      <c r="K81" s="43"/>
      <c r="L81" s="43"/>
      <c r="M81" s="44" t="str">
        <f aca="false">IF(AND(U81=1,N81="",AR81&gt;0,AR81&lt;&gt;""),"TODO !","")</f>
        <v/>
      </c>
      <c r="N81" s="111"/>
      <c r="O81" s="61" t="s">
        <v>27</v>
      </c>
      <c r="P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50"/>
      <c r="AB81" s="50"/>
      <c r="AC81" s="50"/>
      <c r="AD81" s="50"/>
      <c r="AE81" s="73"/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M82" s="44"/>
      <c r="N82" s="103"/>
      <c r="O82" s="103"/>
      <c r="P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M83" s="44" t="str">
        <f aca="false">IF(AND(U83=1,N83="",AR83&gt;0,AR83&lt;&gt;""),"TODO !","")</f>
        <v/>
      </c>
      <c r="N83" s="64"/>
      <c r="O83" s="61"/>
      <c r="P83" s="26" t="s">
        <v>28</v>
      </c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3.2" hidden="false" customHeight="false" outlineLevel="1" collapsed="false">
      <c r="B84" s="107" t="s">
        <v>75</v>
      </c>
      <c r="C84" s="38" t="s">
        <v>76</v>
      </c>
      <c r="D84" s="39"/>
      <c r="E84" s="92"/>
      <c r="F84" s="34"/>
      <c r="G84" s="41"/>
      <c r="H84" s="41"/>
      <c r="I84" s="42"/>
      <c r="J84" s="41" t="s">
        <v>22</v>
      </c>
      <c r="K84" s="43"/>
      <c r="L84" s="43"/>
      <c r="M84" s="44" t="str">
        <f aca="false">IF(AND(U84=1,N84="",AR84&gt;0,AR84&lt;&gt;""),"TODO !","")</f>
        <v/>
      </c>
      <c r="N84" s="45"/>
      <c r="O84" s="46" t="s">
        <v>23</v>
      </c>
      <c r="P84" s="72" t="n">
        <v>1</v>
      </c>
      <c r="Q84" s="43"/>
      <c r="R84" s="77" t="n">
        <v>1</v>
      </c>
      <c r="S84" s="8" t="n">
        <f aca="false">SUM(R84:R90)</f>
        <v>26</v>
      </c>
      <c r="U84" s="48"/>
      <c r="V84" s="48"/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50"/>
      <c r="AB84" s="50"/>
      <c r="AC84" s="50"/>
      <c r="AD84" s="50"/>
      <c r="AE84" s="73"/>
      <c r="AG84" s="53" t="s">
        <v>77</v>
      </c>
      <c r="AH84" s="2"/>
      <c r="AI84" s="48" t="n">
        <f aca="false">U84*V84*R84</f>
        <v>0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n">
        <f aca="false">IF(J84="x",AN$4,"")</f>
        <v>3</v>
      </c>
      <c r="AO84" s="2"/>
      <c r="AP84" s="48" t="n">
        <f aca="false">COUNTIF(G84:J84,"=x")</f>
        <v>1</v>
      </c>
      <c r="AQ84" s="48" t="n">
        <f aca="false">IF(AP84&gt;0,AVERAGE(AK84:AN84),"")</f>
        <v>3</v>
      </c>
      <c r="AR84" s="48" t="str">
        <f aca="false">IF(AND(AP84&gt;0,U84=1),AQ84*R84,"")</f>
        <v/>
      </c>
      <c r="AS84" s="2"/>
      <c r="AT84" s="48" t="n">
        <f aca="false">AI84*3</f>
        <v>0</v>
      </c>
      <c r="AV84" s="54" t="n">
        <f aca="false">SUM(AR84:AR90)</f>
        <v>0</v>
      </c>
      <c r="AW84" s="54" t="n">
        <f aca="false">SUM(AT84:AT90)</f>
        <v>0</v>
      </c>
    </row>
    <row r="85" customFormat="false" ht="13.2" hidden="false" customHeight="false" outlineLevel="1" collapsed="false">
      <c r="B85" s="107"/>
      <c r="C85" s="82" t="s">
        <v>78</v>
      </c>
      <c r="D85" s="34"/>
      <c r="E85" s="93"/>
      <c r="F85" s="34"/>
      <c r="G85" s="41"/>
      <c r="H85" s="41"/>
      <c r="I85" s="42"/>
      <c r="J85" s="41" t="s">
        <v>22</v>
      </c>
      <c r="K85" s="43"/>
      <c r="L85" s="43"/>
      <c r="M85" s="44" t="str">
        <f aca="false">IF(AND(U85=1,N85="",AR85&gt;0,AR85&lt;&gt;""),"TODO !","")</f>
        <v/>
      </c>
      <c r="N85" s="45"/>
      <c r="O85" s="46" t="s">
        <v>23</v>
      </c>
      <c r="P85" s="110" t="str">
        <f aca="false">IF(N85&lt;&gt;"",N85/$N$84,"")</f>
        <v/>
      </c>
      <c r="Q85" s="43"/>
      <c r="R85" s="77" t="n">
        <v>6</v>
      </c>
      <c r="S85" s="8"/>
      <c r="U85" s="48"/>
      <c r="V85" s="48"/>
      <c r="W85" s="26" t="str">
        <f aca="false">IF(AND(U85=1,V85=0),"Bonus","")</f>
        <v/>
      </c>
      <c r="X85" s="26"/>
      <c r="Y85" s="49" t="str">
        <f aca="false">IF(U85=1,AR85,"")</f>
        <v/>
      </c>
      <c r="Z85" s="50"/>
      <c r="AA85" s="50"/>
      <c r="AB85" s="50"/>
      <c r="AC85" s="50"/>
      <c r="AD85" s="50"/>
      <c r="AE85" s="73"/>
      <c r="AG85" s="53"/>
      <c r="AH85" s="2"/>
      <c r="AI85" s="48" t="n">
        <f aca="false">U85*V85*R85</f>
        <v>0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n">
        <f aca="false">IF(J85="x",AN$4,"")</f>
        <v>3</v>
      </c>
      <c r="AO85" s="2"/>
      <c r="AP85" s="48" t="n">
        <f aca="false">COUNTIF(G85:J85,"=x")</f>
        <v>1</v>
      </c>
      <c r="AQ85" s="48" t="n">
        <f aca="false">IF(AP85&gt;0,AVERAGE(AK85:AN85),"")</f>
        <v>3</v>
      </c>
      <c r="AR85" s="48" t="str">
        <f aca="false">IF(AND(AP85&gt;0,U85=1),AQ85*R85,"")</f>
        <v/>
      </c>
      <c r="AS85" s="2"/>
      <c r="AT85" s="48" t="n">
        <f aca="false">AI85*3</f>
        <v>0</v>
      </c>
      <c r="AV85" s="54"/>
      <c r="AW85" s="54"/>
    </row>
    <row r="86" customFormat="false" ht="13.2" hidden="false" customHeight="false" outlineLevel="1" collapsed="false">
      <c r="B86" s="107"/>
      <c r="C86" s="82" t="s">
        <v>79</v>
      </c>
      <c r="D86" s="34"/>
      <c r="E86" s="93"/>
      <c r="F86" s="34"/>
      <c r="G86" s="41"/>
      <c r="H86" s="41"/>
      <c r="I86" s="42"/>
      <c r="J86" s="41"/>
      <c r="K86" s="43"/>
      <c r="L86" s="43"/>
      <c r="M86" s="44" t="str">
        <f aca="false">IF(AND(U86=1,N86="",AR86&gt;0,AR86&lt;&gt;""),"TODO !","")</f>
        <v/>
      </c>
      <c r="N86" s="45"/>
      <c r="O86" s="46" t="s">
        <v>23</v>
      </c>
      <c r="P86" s="110" t="str">
        <f aca="false">IF(N86&lt;&gt;"",N86/$N$84,"")</f>
        <v/>
      </c>
      <c r="Q86" s="43"/>
      <c r="R86" s="77" t="n">
        <v>9</v>
      </c>
      <c r="S86" s="8"/>
      <c r="U86" s="48"/>
      <c r="V86" s="48"/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50"/>
      <c r="AB86" s="50"/>
      <c r="AC86" s="50"/>
      <c r="AD86" s="50"/>
      <c r="AE86" s="73"/>
      <c r="AG86" s="53"/>
      <c r="AH86" s="2"/>
      <c r="AI86" s="48" t="n">
        <f aca="false">U86*V86*R86</f>
        <v>0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0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M87" s="44"/>
      <c r="N87" s="64"/>
      <c r="O87" s="61"/>
      <c r="P87" s="110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G87" s="53"/>
      <c r="AH87" s="2"/>
      <c r="AI87" s="2"/>
      <c r="AJ87" s="2"/>
      <c r="AK87" s="2"/>
      <c r="AL87" s="2"/>
      <c r="AM87" s="2" t="str">
        <f aca="false">IF(I87="x",AM$4,"")</f>
        <v/>
      </c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76</v>
      </c>
      <c r="D88" s="34"/>
      <c r="E88" s="76" t="s">
        <v>37</v>
      </c>
      <c r="F88" s="34"/>
      <c r="G88" s="41"/>
      <c r="H88" s="41"/>
      <c r="I88" s="41"/>
      <c r="J88" s="59"/>
      <c r="K88" s="43"/>
      <c r="L88" s="43"/>
      <c r="M88" s="44" t="str">
        <f aca="false">IF(AND(U88=1,N88="",AR88&gt;0,AR88&lt;&gt;""),"TODO !","")</f>
        <v/>
      </c>
      <c r="N88" s="111"/>
      <c r="O88" s="61" t="s">
        <v>27</v>
      </c>
      <c r="P88" s="110"/>
      <c r="Q88" s="43"/>
      <c r="R88" s="77" t="n">
        <v>1</v>
      </c>
      <c r="S88" s="8"/>
      <c r="U88" s="48"/>
      <c r="V88" s="48"/>
      <c r="W88" s="26" t="str">
        <f aca="false">IF(AND(U88=1,V88=0),"Bonus","")</f>
        <v/>
      </c>
      <c r="X88" s="26"/>
      <c r="Y88" s="49" t="str">
        <f aca="false">IF(U88=1,AR88,"")</f>
        <v/>
      </c>
      <c r="Z88" s="50"/>
      <c r="AA88" s="50"/>
      <c r="AB88" s="50"/>
      <c r="AC88" s="50"/>
      <c r="AD88" s="50"/>
      <c r="AE88" s="73"/>
      <c r="AG88" s="53"/>
      <c r="AH88" s="2"/>
      <c r="AI88" s="48" t="n">
        <f aca="false">U88*V88*R88</f>
        <v>0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str">
        <f aca="false">IF(J88="x",AN$4,"")</f>
        <v/>
      </c>
      <c r="AO88" s="2"/>
      <c r="AP88" s="48" t="n">
        <f aca="false">COUNTIF(G88:J88,"=x")</f>
        <v>0</v>
      </c>
      <c r="AQ88" s="48" t="str">
        <f aca="false">IF(AP88&gt;0,AVERAGE(AK88:AN88),"")</f>
        <v/>
      </c>
      <c r="AR88" s="48" t="str">
        <f aca="false">IF(AND(AP88&gt;0,U88=1),AQ88*R88,"")</f>
        <v/>
      </c>
      <c r="AS88" s="2"/>
      <c r="AT88" s="48" t="n">
        <f aca="false">AI88*3</f>
        <v>0</v>
      </c>
      <c r="AV88" s="54"/>
      <c r="AW88" s="54"/>
    </row>
    <row r="89" customFormat="false" ht="13.2" hidden="false" customHeight="false" outlineLevel="1" collapsed="false">
      <c r="B89" s="107"/>
      <c r="C89" s="82" t="s">
        <v>78</v>
      </c>
      <c r="D89" s="34"/>
      <c r="E89" s="76"/>
      <c r="F89" s="34"/>
      <c r="G89" s="41"/>
      <c r="H89" s="41"/>
      <c r="I89" s="41"/>
      <c r="J89" s="59"/>
      <c r="K89" s="43"/>
      <c r="L89" s="43"/>
      <c r="M89" s="44" t="str">
        <f aca="false">IF(AND(U89=1,N89="",AR89&gt;0,AR89&lt;&gt;""),"TODO !","")</f>
        <v/>
      </c>
      <c r="N89" s="111"/>
      <c r="O89" s="61" t="s">
        <v>27</v>
      </c>
      <c r="P89" s="110"/>
      <c r="Q89" s="43"/>
      <c r="R89" s="77" t="n">
        <v>4</v>
      </c>
      <c r="S89" s="8"/>
      <c r="U89" s="48"/>
      <c r="V89" s="48"/>
      <c r="W89" s="26" t="str">
        <f aca="false">IF(AND(U89=1,V89=0),"Bonus","")</f>
        <v/>
      </c>
      <c r="X89" s="26"/>
      <c r="Y89" s="49" t="str">
        <f aca="false">IF(U89=1,AR89,"")</f>
        <v/>
      </c>
      <c r="Z89" s="50"/>
      <c r="AA89" s="50"/>
      <c r="AB89" s="50"/>
      <c r="AC89" s="50"/>
      <c r="AD89" s="50"/>
      <c r="AE89" s="73"/>
      <c r="AG89" s="53"/>
      <c r="AH89" s="2"/>
      <c r="AI89" s="48" t="n">
        <f aca="false">U89*V89*R89</f>
        <v>0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str">
        <f aca="false">IF(J89="x",AN$4,"")</f>
        <v/>
      </c>
      <c r="AO89" s="2"/>
      <c r="AP89" s="48" t="n">
        <f aca="false">COUNTIF(G89:J89,"=x")</f>
        <v>0</v>
      </c>
      <c r="AQ89" s="48" t="str">
        <f aca="false">IF(AP89&gt;0,AVERAGE(AK89:AN89),"")</f>
        <v/>
      </c>
      <c r="AR89" s="48" t="str">
        <f aca="false">IF(AND(AP89&gt;0,U89=1),AQ89*R89,"")</f>
        <v/>
      </c>
      <c r="AS89" s="2"/>
      <c r="AT89" s="48" t="n">
        <f aca="false">AI89*3</f>
        <v>0</v>
      </c>
      <c r="AV89" s="54"/>
      <c r="AW89" s="54"/>
    </row>
    <row r="90" customFormat="false" ht="13.2" hidden="false" customHeight="false" outlineLevel="1" collapsed="false">
      <c r="B90" s="107"/>
      <c r="C90" s="55" t="s">
        <v>79</v>
      </c>
      <c r="D90" s="56"/>
      <c r="E90" s="76"/>
      <c r="F90" s="34"/>
      <c r="G90" s="41"/>
      <c r="H90" s="41"/>
      <c r="I90" s="41"/>
      <c r="J90" s="59"/>
      <c r="K90" s="43"/>
      <c r="L90" s="43"/>
      <c r="M90" s="44" t="str">
        <f aca="false">IF(AND(U90=1,N90="",AR90&gt;0,AR90&lt;&gt;""),"TODO !","")</f>
        <v/>
      </c>
      <c r="N90" s="111"/>
      <c r="O90" s="61" t="s">
        <v>27</v>
      </c>
      <c r="P90" s="110"/>
      <c r="Q90" s="43"/>
      <c r="R90" s="77" t="n">
        <v>5</v>
      </c>
      <c r="S90" s="8"/>
      <c r="U90" s="48"/>
      <c r="V90" s="48"/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50"/>
      <c r="AB90" s="50"/>
      <c r="AC90" s="50"/>
      <c r="AD90" s="50"/>
      <c r="AE90" s="73"/>
      <c r="AG90" s="53"/>
      <c r="AH90" s="2"/>
      <c r="AI90" s="48" t="n">
        <f aca="false">U90*V90*R90</f>
        <v>0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0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M91" s="44"/>
      <c r="N91" s="122"/>
      <c r="O91" s="61"/>
      <c r="P91" s="26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false" customHeight="false" outlineLevel="2" collapsed="false">
      <c r="B92" s="67"/>
      <c r="C92" s="123" t="s">
        <v>80</v>
      </c>
      <c r="D92" s="123"/>
      <c r="E92" s="123"/>
      <c r="F92" s="34"/>
      <c r="G92" s="63"/>
      <c r="H92" s="63"/>
      <c r="I92" s="63"/>
      <c r="J92" s="63"/>
      <c r="K92" s="43"/>
      <c r="L92" s="43"/>
      <c r="M92" s="44"/>
      <c r="N92" s="26" t="s">
        <v>81</v>
      </c>
      <c r="O92" s="61"/>
      <c r="P92" s="26" t="s">
        <v>82</v>
      </c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2.8" hidden="false" customHeight="false" outlineLevel="2" collapsed="false">
      <c r="B93" s="99" t="s">
        <v>83</v>
      </c>
      <c r="C93" s="38" t="s">
        <v>84</v>
      </c>
      <c r="D93" s="39" t="s">
        <v>20</v>
      </c>
      <c r="E93" s="92" t="s">
        <v>85</v>
      </c>
      <c r="F93" s="34"/>
      <c r="G93" s="41"/>
      <c r="H93" s="41"/>
      <c r="I93" s="42"/>
      <c r="J93" s="41" t="s">
        <v>22</v>
      </c>
      <c r="K93" s="43"/>
      <c r="L93" s="43"/>
      <c r="M93" s="44" t="str">
        <f aca="false">IF(AND(U93=1,N93="",AR93&gt;0,AR93&lt;&gt;""),"TODO !","")</f>
        <v/>
      </c>
      <c r="N93" s="124" t="n">
        <v>18.2</v>
      </c>
      <c r="O93" s="46" t="s">
        <v>23</v>
      </c>
      <c r="P93" s="125" t="n">
        <f aca="false">IF(AND(N93&lt;&gt;"",$N$6&lt;&gt;""),$N$6/N93,"")</f>
        <v>9537.1978021978</v>
      </c>
      <c r="Q93" s="43"/>
      <c r="R93" s="77" t="n">
        <v>1</v>
      </c>
      <c r="S93" s="8" t="n">
        <v>22</v>
      </c>
      <c r="U93" s="48"/>
      <c r="V93" s="48"/>
      <c r="W93" s="26" t="str">
        <f aca="false">IF(AND(U93=1,V93=0),"Bonus","")</f>
        <v/>
      </c>
      <c r="X93" s="26"/>
      <c r="Y93" s="49" t="str">
        <f aca="false">IF(U93=1,AR93,"")</f>
        <v/>
      </c>
      <c r="Z93" s="50"/>
      <c r="AA93" s="50"/>
      <c r="AB93" s="50"/>
      <c r="AC93" s="50"/>
      <c r="AD93" s="50"/>
      <c r="AE93" s="73"/>
      <c r="AG93" s="53" t="s">
        <v>86</v>
      </c>
      <c r="AH93" s="2"/>
      <c r="AI93" s="48" t="n">
        <f aca="false">U93*V93*R93</f>
        <v>0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n">
        <f aca="false">IF(J93="x",AN$4,"")</f>
        <v>3</v>
      </c>
      <c r="AO93" s="2"/>
      <c r="AP93" s="48" t="n">
        <f aca="false">COUNTIF(G93:J93,"=x")</f>
        <v>1</v>
      </c>
      <c r="AQ93" s="48" t="n">
        <f aca="false">IF(AP93&gt;0,AVERAGE(AK93:AN93),"")</f>
        <v>3</v>
      </c>
      <c r="AR93" s="48" t="str">
        <f aca="false">IF(AND(AP93&gt;0,U93=1),AQ93*R93,"")</f>
        <v/>
      </c>
      <c r="AS93" s="2"/>
      <c r="AT93" s="48" t="n">
        <f aca="false">AI93*3</f>
        <v>0</v>
      </c>
      <c r="AV93" s="54" t="n">
        <f aca="false">SUM(AR93:AR100)</f>
        <v>0</v>
      </c>
      <c r="AW93" s="54" t="n">
        <f aca="false">SUM(AT93:AT100)</f>
        <v>0</v>
      </c>
    </row>
    <row r="94" customFormat="false" ht="12.8" hidden="false" customHeight="false" outlineLevel="2" collapsed="false">
      <c r="B94" s="99"/>
      <c r="C94" s="82"/>
      <c r="D94" s="34"/>
      <c r="E94" s="93" t="s">
        <v>87</v>
      </c>
      <c r="F94" s="3"/>
      <c r="G94" s="41"/>
      <c r="H94" s="41"/>
      <c r="I94" s="42"/>
      <c r="J94" s="41" t="s">
        <v>22</v>
      </c>
      <c r="K94" s="43"/>
      <c r="L94" s="43"/>
      <c r="M94" s="44" t="str">
        <f aca="false">IF(AND(U94=1,N94="",AR94&gt;0,AR94&lt;&gt;""),"TODO !","")</f>
        <v/>
      </c>
      <c r="N94" s="126" t="n">
        <v>68.1</v>
      </c>
      <c r="O94" s="46" t="s">
        <v>23</v>
      </c>
      <c r="P94" s="127" t="n">
        <f aca="false">IF(AND(N94&lt;&gt;"",$N$6&lt;&gt;""),$N$6/N94,"")</f>
        <v>2548.85462555066</v>
      </c>
      <c r="Q94" s="43"/>
      <c r="R94" s="77" t="n">
        <v>2</v>
      </c>
      <c r="S94" s="8"/>
      <c r="U94" s="48"/>
      <c r="V94" s="48"/>
      <c r="W94" s="26" t="str">
        <f aca="false">IF(AND(U94=1,V94=0),"Bonus","")</f>
        <v/>
      </c>
      <c r="X94" s="26"/>
      <c r="Y94" s="49" t="str">
        <f aca="false">IF(U94=1,AR94,"")</f>
        <v/>
      </c>
      <c r="Z94" s="50"/>
      <c r="AA94" s="50"/>
      <c r="AB94" s="50"/>
      <c r="AC94" s="50"/>
      <c r="AD94" s="50"/>
      <c r="AE94" s="73"/>
      <c r="AG94" s="53"/>
      <c r="AH94" s="2"/>
      <c r="AI94" s="48" t="n">
        <f aca="false">U94*V94*R94</f>
        <v>0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n">
        <f aca="false">IF(J94="x",AN$4,"")</f>
        <v>3</v>
      </c>
      <c r="AO94" s="2"/>
      <c r="AP94" s="48" t="n">
        <f aca="false">COUNTIF(G94:J94,"=x")</f>
        <v>1</v>
      </c>
      <c r="AQ94" s="48" t="n">
        <f aca="false">IF(AP94&gt;0,AVERAGE(AK94:AN94),"")</f>
        <v>3</v>
      </c>
      <c r="AR94" s="48" t="str">
        <f aca="false">IF(AND(AP94&gt;0,U94=1),AQ94*R94,"")</f>
        <v/>
      </c>
      <c r="AS94" s="2"/>
      <c r="AT94" s="48" t="n">
        <f aca="false">AI94*3</f>
        <v>0</v>
      </c>
      <c r="AV94" s="54"/>
      <c r="AW94" s="54"/>
    </row>
    <row r="95" customFormat="false" ht="12.8" hidden="false" customHeight="false" outlineLevel="2" collapsed="false">
      <c r="B95" s="99"/>
      <c r="C95" s="82" t="s">
        <v>84</v>
      </c>
      <c r="D95" s="34" t="s">
        <v>30</v>
      </c>
      <c r="E95" s="93" t="s">
        <v>85</v>
      </c>
      <c r="F95" s="3" t="s">
        <v>34</v>
      </c>
      <c r="G95" s="41"/>
      <c r="H95" s="41"/>
      <c r="I95" s="42"/>
      <c r="J95" s="41" t="s">
        <v>22</v>
      </c>
      <c r="K95" s="43"/>
      <c r="L95" s="43"/>
      <c r="M95" s="44" t="str">
        <f aca="false">IF(AND(U95=1,N95="",AR95&gt;0,AR95&lt;&gt;""),"TODO !","")</f>
        <v/>
      </c>
      <c r="N95" s="124" t="n">
        <v>8</v>
      </c>
      <c r="O95" s="46" t="s">
        <v>23</v>
      </c>
      <c r="P95" s="125" t="n">
        <f aca="false">IF(AND(N95&lt;&gt;"",$N$11&lt;&gt;""),$N$11/N95,"")</f>
        <v>21518.125</v>
      </c>
      <c r="Q95" s="43"/>
      <c r="R95" s="77" t="n">
        <v>1</v>
      </c>
      <c r="S95" s="8"/>
      <c r="U95" s="48"/>
      <c r="V95" s="48"/>
      <c r="W95" s="26" t="str">
        <f aca="false">IF(AND(U95=1,V95=0),"Bonus","")</f>
        <v/>
      </c>
      <c r="X95" s="26"/>
      <c r="Y95" s="49" t="str">
        <f aca="false">IF(U95=1,AR95,"")</f>
        <v/>
      </c>
      <c r="Z95" s="50"/>
      <c r="AA95" s="50"/>
      <c r="AB95" s="50"/>
      <c r="AC95" s="50"/>
      <c r="AD95" s="50"/>
      <c r="AE95" s="73"/>
      <c r="AG95" s="53"/>
      <c r="AH95" s="2"/>
      <c r="AI95" s="48" t="n">
        <f aca="false">U95*V95*R95</f>
        <v>0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n">
        <f aca="false">IF(J95="x",AN$4,"")</f>
        <v>3</v>
      </c>
      <c r="AO95" s="2"/>
      <c r="AP95" s="48" t="n">
        <f aca="false">COUNTIF(G95:J95,"=x")</f>
        <v>1</v>
      </c>
      <c r="AQ95" s="48" t="n">
        <f aca="false">IF(AP95&gt;0,AVERAGE(AK95:AN95),"")</f>
        <v>3</v>
      </c>
      <c r="AR95" s="48" t="str">
        <f aca="false">IF(AND(AP95&gt;0,U95=1),AQ95*R95,"")</f>
        <v/>
      </c>
      <c r="AS95" s="2"/>
      <c r="AT95" s="48" t="n">
        <f aca="false">AI95*3</f>
        <v>0</v>
      </c>
      <c r="AV95" s="54"/>
      <c r="AW95" s="54"/>
    </row>
    <row r="96" customFormat="false" ht="12.8" hidden="false" customHeight="false" outlineLevel="2" collapsed="false">
      <c r="B96" s="99"/>
      <c r="C96" s="82"/>
      <c r="D96" s="34"/>
      <c r="E96" s="93" t="s">
        <v>87</v>
      </c>
      <c r="F96" s="3" t="s">
        <v>34</v>
      </c>
      <c r="G96" s="41"/>
      <c r="H96" s="41"/>
      <c r="I96" s="42"/>
      <c r="J96" s="41" t="s">
        <v>22</v>
      </c>
      <c r="K96" s="43"/>
      <c r="L96" s="43"/>
      <c r="M96" s="44" t="str">
        <f aca="false">IF(AND(U96=1,N96="",AR96&gt;0,AR96&lt;&gt;""),"TODO !","")</f>
        <v/>
      </c>
      <c r="N96" s="126" t="n">
        <v>50.3</v>
      </c>
      <c r="O96" s="46" t="s">
        <v>23</v>
      </c>
      <c r="P96" s="128" t="n">
        <f aca="false">IF(AND(N96&lt;&gt;"",$N$11&lt;&gt;""),$N$11/N96,"")</f>
        <v>3422.36580516899</v>
      </c>
      <c r="Q96" s="43"/>
      <c r="R96" s="77" t="n">
        <v>2</v>
      </c>
      <c r="S96" s="8"/>
      <c r="U96" s="48"/>
      <c r="V96" s="48"/>
      <c r="W96" s="26" t="str">
        <f aca="false">IF(AND(U96=1,V96=0),"Bonus","")</f>
        <v/>
      </c>
      <c r="X96" s="26"/>
      <c r="Y96" s="49" t="str">
        <f aca="false">IF(U96=1,AR96,"")</f>
        <v/>
      </c>
      <c r="Z96" s="50"/>
      <c r="AA96" s="50"/>
      <c r="AB96" s="50"/>
      <c r="AC96" s="50"/>
      <c r="AD96" s="50"/>
      <c r="AE96" s="73"/>
      <c r="AG96" s="53"/>
      <c r="AH96" s="2"/>
      <c r="AI96" s="48" t="n">
        <f aca="false">U96*V96*R96</f>
        <v>0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n">
        <f aca="false">IF(J96="x",AN$4,"")</f>
        <v>3</v>
      </c>
      <c r="AO96" s="2"/>
      <c r="AP96" s="48" t="n">
        <f aca="false">COUNTIF(G96:J96,"=x")</f>
        <v>1</v>
      </c>
      <c r="AQ96" s="48" t="n">
        <f aca="false">IF(AP96&gt;0,AVERAGE(AK96:AN96),"")</f>
        <v>3</v>
      </c>
      <c r="AR96" s="48" t="str">
        <f aca="false">IF(AND(AP96&gt;0,U96=1),AQ96*R96,"")</f>
        <v/>
      </c>
      <c r="AS96" s="2"/>
      <c r="AT96" s="48" t="n">
        <f aca="false">AI96*3</f>
        <v>0</v>
      </c>
      <c r="AV96" s="54"/>
      <c r="AW96" s="54"/>
    </row>
    <row r="97" customFormat="false" ht="12.8" hidden="false" customHeight="false" outlineLevel="2" collapsed="false">
      <c r="B97" s="99"/>
      <c r="C97" s="82" t="s">
        <v>84</v>
      </c>
      <c r="D97" s="34" t="s">
        <v>88</v>
      </c>
      <c r="E97" s="93" t="s">
        <v>85</v>
      </c>
      <c r="F97" s="3"/>
      <c r="G97" s="41"/>
      <c r="H97" s="41"/>
      <c r="I97" s="42"/>
      <c r="J97" s="41" t="s">
        <v>22</v>
      </c>
      <c r="K97" s="43"/>
      <c r="L97" s="43"/>
      <c r="M97" s="44" t="str">
        <f aca="false">IF(AND(U97=1,N97="",AR97&gt;0,AR97&lt;&gt;""),"TODO !","")</f>
        <v/>
      </c>
      <c r="N97" s="124" t="n">
        <v>0.3</v>
      </c>
      <c r="O97" s="46" t="s">
        <v>23</v>
      </c>
      <c r="P97" s="125" t="n">
        <f aca="false">IF(AND(N97&lt;&gt;"",$N$11&lt;&gt;""),$N$24/N97,"")</f>
        <v>933.333333333333</v>
      </c>
      <c r="Q97" s="43"/>
      <c r="R97" s="77" t="n">
        <v>1</v>
      </c>
      <c r="S97" s="8"/>
      <c r="U97" s="48"/>
      <c r="V97" s="48"/>
      <c r="W97" s="26" t="str">
        <f aca="false">IF(AND(U97=1,V97=0),"Bonus","")</f>
        <v/>
      </c>
      <c r="X97" s="26"/>
      <c r="Y97" s="49" t="str">
        <f aca="false">IF(U97=1,AR97,"")</f>
        <v/>
      </c>
      <c r="Z97" s="50"/>
      <c r="AA97" s="50"/>
      <c r="AB97" s="50"/>
      <c r="AC97" s="50"/>
      <c r="AD97" s="50"/>
      <c r="AE97" s="73"/>
      <c r="AG97" s="53"/>
      <c r="AH97" s="2"/>
      <c r="AI97" s="48" t="n">
        <f aca="false">U97*V97*R97</f>
        <v>0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n">
        <f aca="false">IF(J97="x",AN$4,"")</f>
        <v>3</v>
      </c>
      <c r="AO97" s="2"/>
      <c r="AP97" s="48" t="n">
        <f aca="false">COUNTIF(G97:J97,"=x")</f>
        <v>1</v>
      </c>
      <c r="AQ97" s="48" t="n">
        <f aca="false">IF(AP97&gt;0,AVERAGE(AK97:AN97),"")</f>
        <v>3</v>
      </c>
      <c r="AR97" s="48" t="str">
        <f aca="false">IF(AND(AP97&gt;0,U97=1),AQ97*R97,"")</f>
        <v/>
      </c>
      <c r="AS97" s="2"/>
      <c r="AT97" s="48" t="n">
        <f aca="false">AI97*3</f>
        <v>0</v>
      </c>
      <c r="AV97" s="54"/>
      <c r="AW97" s="54"/>
    </row>
    <row r="98" customFormat="false" ht="12.8" hidden="false" customHeight="false" outlineLevel="2" collapsed="false">
      <c r="B98" s="99"/>
      <c r="C98" s="82"/>
      <c r="D98" s="34"/>
      <c r="E98" s="93" t="s">
        <v>87</v>
      </c>
      <c r="F98" s="3"/>
      <c r="G98" s="41"/>
      <c r="H98" s="41"/>
      <c r="I98" s="42"/>
      <c r="J98" s="41" t="s">
        <v>22</v>
      </c>
      <c r="K98" s="43"/>
      <c r="L98" s="43"/>
      <c r="M98" s="44" t="str">
        <f aca="false">IF(AND(U98=1,N98="",AR98&gt;0,AR98&lt;&gt;""),"TODO !","")</f>
        <v/>
      </c>
      <c r="N98" s="126" t="n">
        <v>6.8</v>
      </c>
      <c r="O98" s="46" t="s">
        <v>23</v>
      </c>
      <c r="P98" s="127" t="n">
        <f aca="false">IF(AND(N98&lt;&gt;"",$N$24&lt;&gt;""),$N$24/N98,"")</f>
        <v>41.1764705882353</v>
      </c>
      <c r="Q98" s="43"/>
      <c r="R98" s="77" t="n">
        <v>2</v>
      </c>
      <c r="S98" s="8"/>
      <c r="U98" s="48"/>
      <c r="V98" s="48"/>
      <c r="W98" s="26" t="str">
        <f aca="false">IF(AND(U98=1,V98=0),"Bonus","")</f>
        <v/>
      </c>
      <c r="X98" s="26"/>
      <c r="Y98" s="49" t="str">
        <f aca="false">IF(U98=1,AR98,"")</f>
        <v/>
      </c>
      <c r="Z98" s="50"/>
      <c r="AA98" s="50"/>
      <c r="AB98" s="50"/>
      <c r="AC98" s="50"/>
      <c r="AD98" s="50"/>
      <c r="AE98" s="73"/>
      <c r="AG98" s="53"/>
      <c r="AH98" s="2"/>
      <c r="AI98" s="48" t="n">
        <f aca="false">U98*V98*R98</f>
        <v>0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n">
        <f aca="false">IF(J98="x",AN$4,"")</f>
        <v>3</v>
      </c>
      <c r="AO98" s="2"/>
      <c r="AP98" s="48" t="n">
        <f aca="false">COUNTIF(G98:J98,"=x")</f>
        <v>1</v>
      </c>
      <c r="AQ98" s="48" t="n">
        <f aca="false">IF(AP98&gt;0,AVERAGE(AK98:AN98),"")</f>
        <v>3</v>
      </c>
      <c r="AR98" s="48" t="str">
        <f aca="false">IF(AND(AP98&gt;0,U98=1),AQ98*R98,"")</f>
        <v/>
      </c>
      <c r="AS98" s="2"/>
      <c r="AT98" s="48" t="n">
        <f aca="false">AI98*3</f>
        <v>0</v>
      </c>
      <c r="AV98" s="54"/>
      <c r="AW98" s="54"/>
    </row>
    <row r="99" customFormat="false" ht="12.8" hidden="false" customHeight="false" outlineLevel="2" collapsed="false">
      <c r="B99" s="99"/>
      <c r="C99" s="82" t="s">
        <v>84</v>
      </c>
      <c r="D99" s="34" t="s">
        <v>89</v>
      </c>
      <c r="E99" s="93" t="s">
        <v>85</v>
      </c>
      <c r="F99" s="3" t="s">
        <v>55</v>
      </c>
      <c r="G99" s="41"/>
      <c r="H99" s="41"/>
      <c r="I99" s="42"/>
      <c r="J99" s="41"/>
      <c r="K99" s="43"/>
      <c r="L99" s="43"/>
      <c r="M99" s="44" t="str">
        <f aca="false">IF(AND(U99=1,N99="",AR99&gt;0,AR99&lt;&gt;""),"TODO !","")</f>
        <v/>
      </c>
      <c r="N99" s="129"/>
      <c r="O99" s="130" t="s">
        <v>64</v>
      </c>
      <c r="P99" s="128" t="str">
        <f aca="false">IF(AND(N99&lt;&gt;"",$N$61&lt;&gt;""),$N$61/N99,"")</f>
        <v/>
      </c>
      <c r="Q99" s="43"/>
      <c r="R99" s="47" t="n">
        <v>1</v>
      </c>
      <c r="S99" s="8"/>
      <c r="U99" s="48"/>
      <c r="V99" s="48"/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50"/>
      <c r="AB99" s="50"/>
      <c r="AC99" s="50"/>
      <c r="AD99" s="50"/>
      <c r="AE99" s="73"/>
      <c r="AG99" s="53"/>
      <c r="AH99" s="2"/>
      <c r="AI99" s="48" t="n">
        <f aca="false">U99*V99*R99</f>
        <v>0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0</v>
      </c>
      <c r="AV99" s="54"/>
      <c r="AW99" s="54"/>
    </row>
    <row r="100" customFormat="false" ht="12.8" hidden="false" customHeight="false" outlineLevel="2" collapsed="false">
      <c r="B100" s="99"/>
      <c r="C100" s="131"/>
      <c r="D100" s="132"/>
      <c r="E100" s="133" t="s">
        <v>87</v>
      </c>
      <c r="F100" s="3" t="s">
        <v>55</v>
      </c>
      <c r="G100" s="41"/>
      <c r="H100" s="41"/>
      <c r="I100" s="42"/>
      <c r="J100" s="41"/>
      <c r="K100" s="43"/>
      <c r="L100" s="43"/>
      <c r="M100" s="44" t="str">
        <f aca="false">IF(AND(U100=1,N100="",AR100&gt;0,AR100&lt;&gt;""),"TODO !","")</f>
        <v/>
      </c>
      <c r="N100" s="134"/>
      <c r="O100" s="130" t="s">
        <v>64</v>
      </c>
      <c r="P100" s="127" t="str">
        <f aca="false">IF(AND(N100&lt;&gt;"",$N$61&lt;&gt;""),$N$61/N100,"")</f>
        <v/>
      </c>
      <c r="Q100" s="43"/>
      <c r="R100" s="47" t="n">
        <v>2</v>
      </c>
      <c r="S100" s="8"/>
      <c r="U100" s="48"/>
      <c r="V100" s="48"/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50"/>
      <c r="AB100" s="50"/>
      <c r="AC100" s="50"/>
      <c r="AD100" s="50"/>
      <c r="AE100" s="73"/>
      <c r="AG100" s="53"/>
      <c r="AH100" s="2"/>
      <c r="AI100" s="48" t="n">
        <f aca="false">U100*V100*R100</f>
        <v>0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0</v>
      </c>
      <c r="AV100" s="54"/>
      <c r="AW100" s="54"/>
    </row>
    <row r="101" customFormat="false" ht="13.2" hidden="false" customHeight="false" outlineLevel="2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M101" s="35"/>
      <c r="N101" s="136"/>
      <c r="O101" s="136"/>
      <c r="P101" s="35"/>
      <c r="Q101" s="35"/>
      <c r="R101" s="21"/>
      <c r="S101" s="21"/>
      <c r="U101" s="2"/>
      <c r="V101" s="2"/>
      <c r="W101" s="26"/>
      <c r="X101" s="26"/>
      <c r="Y101" s="65"/>
      <c r="AE101" s="73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M102" s="35"/>
      <c r="N102" s="136"/>
      <c r="O102" s="136"/>
      <c r="P102" s="35"/>
      <c r="Q102" s="35"/>
      <c r="R102" s="21"/>
      <c r="S102" s="21"/>
      <c r="U102" s="2"/>
      <c r="V102" s="2"/>
      <c r="W102" s="26"/>
      <c r="X102" s="26"/>
      <c r="Y102" s="65"/>
      <c r="AE102" s="73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90</v>
      </c>
      <c r="C103" s="38" t="s">
        <v>91</v>
      </c>
      <c r="D103" s="39"/>
      <c r="E103" s="137" t="s">
        <v>92</v>
      </c>
      <c r="F103" s="34"/>
      <c r="G103" s="41"/>
      <c r="H103" s="41"/>
      <c r="I103" s="41"/>
      <c r="J103" s="41" t="s">
        <v>22</v>
      </c>
      <c r="K103" s="35"/>
      <c r="L103" s="35"/>
      <c r="M103" s="44" t="str">
        <f aca="false">IF(AND(U103=1,N103="",AR103&gt;0,AR103&lt;&gt;""),"TODO !","")</f>
        <v/>
      </c>
      <c r="N103" s="45" t="n">
        <v>21</v>
      </c>
      <c r="O103" s="46" t="s">
        <v>23</v>
      </c>
      <c r="P103" s="138" t="s">
        <v>93</v>
      </c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n">
        <f aca="false">IF(U103=1,AR103,"")</f>
        <v>12</v>
      </c>
      <c r="AE103" s="74"/>
      <c r="AF103" s="0" t="str">
        <f aca="false">IF(AND(J103="x",AE103=""),"TODO !","")</f>
        <v>TODO !</v>
      </c>
      <c r="AG103" s="53" t="s">
        <v>94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n">
        <f aca="false">IF(J103="x",AN$4,"")</f>
        <v>3</v>
      </c>
      <c r="AO103" s="2"/>
      <c r="AP103" s="48" t="n">
        <f aca="false">COUNTIF(G103:J103,"=x")</f>
        <v>1</v>
      </c>
      <c r="AQ103" s="48" t="n">
        <f aca="false">IF(AP103&gt;0,AVERAGE(AK103:AN103),"")</f>
        <v>3</v>
      </c>
      <c r="AR103" s="48" t="n">
        <f aca="false">IF(AND(AP103&gt;0,U103=1),AQ103*R103,"")</f>
        <v>12</v>
      </c>
      <c r="AS103" s="2"/>
      <c r="AT103" s="48" t="n">
        <f aca="false">AI103*3</f>
        <v>12</v>
      </c>
      <c r="AV103" s="54" t="n">
        <f aca="false">SUM(AR103:AR108)</f>
        <v>12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95</v>
      </c>
      <c r="D104" s="139"/>
      <c r="E104" s="137"/>
      <c r="F104" s="34"/>
      <c r="G104" s="41"/>
      <c r="H104" s="41"/>
      <c r="I104" s="41"/>
      <c r="J104" s="41"/>
      <c r="K104" s="35"/>
      <c r="L104" s="35"/>
      <c r="M104" s="44"/>
      <c r="N104" s="45"/>
      <c r="O104" s="46" t="s">
        <v>23</v>
      </c>
      <c r="P104" s="138" t="s">
        <v>93</v>
      </c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AE104" s="73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3.2" hidden="false" customHeight="true" outlineLevel="0" collapsed="false">
      <c r="B105" s="22"/>
      <c r="C105" s="82" t="s">
        <v>96</v>
      </c>
      <c r="E105" s="137" t="s">
        <v>97</v>
      </c>
      <c r="F105" s="34"/>
      <c r="G105" s="41"/>
      <c r="H105" s="58"/>
      <c r="I105" s="42"/>
      <c r="J105" s="41"/>
      <c r="K105" s="35"/>
      <c r="L105" s="35"/>
      <c r="M105" s="44" t="str">
        <f aca="false">IF(AND(U105=1,N105="",AR105&gt;0,AR105&lt;&gt;""),"TODO !","")</f>
        <v/>
      </c>
      <c r="N105" s="140"/>
      <c r="O105" s="61" t="s">
        <v>27</v>
      </c>
      <c r="P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AE105" s="141"/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98</v>
      </c>
      <c r="E106" s="137"/>
      <c r="F106" s="34"/>
      <c r="G106" s="41"/>
      <c r="H106" s="58"/>
      <c r="I106" s="42"/>
      <c r="J106" s="41"/>
      <c r="K106" s="35"/>
      <c r="L106" s="35"/>
      <c r="M106" s="44" t="str">
        <f aca="false">IF(AND(U106=1,N106="",AR106&gt;0,AR106&lt;&gt;""),"TODO !","")</f>
        <v/>
      </c>
      <c r="N106" s="140"/>
      <c r="O106" s="61" t="s">
        <v>27</v>
      </c>
      <c r="P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AE106" s="141"/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99</v>
      </c>
      <c r="D107" s="34"/>
      <c r="E107" s="137"/>
      <c r="F107" s="34"/>
      <c r="G107" s="41"/>
      <c r="H107" s="58"/>
      <c r="I107" s="42"/>
      <c r="J107" s="41"/>
      <c r="K107" s="35"/>
      <c r="L107" s="35"/>
      <c r="M107" s="44" t="str">
        <f aca="false">IF(AND(U107=1,N107="",AR107&gt;0,AR107&lt;&gt;""),"TODO !","")</f>
        <v/>
      </c>
      <c r="N107" s="140"/>
      <c r="O107" s="61" t="s">
        <v>27</v>
      </c>
      <c r="P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AE107" s="141"/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100</v>
      </c>
      <c r="D108" s="56"/>
      <c r="E108" s="137"/>
      <c r="F108" s="34"/>
      <c r="G108" s="41"/>
      <c r="H108" s="58"/>
      <c r="I108" s="42"/>
      <c r="J108" s="41"/>
      <c r="K108" s="35"/>
      <c r="L108" s="35"/>
      <c r="M108" s="44" t="str">
        <f aca="false">IF(AND(U108=1,N108="",AR108&gt;0,AR108&lt;&gt;""),"TODO !","")</f>
        <v/>
      </c>
      <c r="N108" s="140"/>
      <c r="O108" s="61" t="s">
        <v>27</v>
      </c>
      <c r="P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AE108" s="141"/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M109" s="44"/>
      <c r="N109" s="43"/>
      <c r="O109" s="61"/>
      <c r="P109" s="35"/>
      <c r="Q109" s="35"/>
      <c r="R109" s="21"/>
      <c r="S109" s="21"/>
      <c r="U109" s="2"/>
      <c r="V109" s="2"/>
      <c r="W109" s="26"/>
      <c r="X109" s="2"/>
      <c r="Y109" s="65"/>
      <c r="AE109" s="141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M110" s="44"/>
      <c r="N110" s="43"/>
      <c r="O110" s="61"/>
      <c r="P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E110" s="141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3.2" hidden="false" customHeight="false" outlineLevel="0" collapsed="false">
      <c r="B111" s="99" t="s">
        <v>101</v>
      </c>
      <c r="C111" s="38" t="s">
        <v>102</v>
      </c>
      <c r="D111" s="39"/>
      <c r="E111" s="92"/>
      <c r="F111" s="34"/>
      <c r="G111" s="41"/>
      <c r="H111" s="142"/>
      <c r="I111" s="42"/>
      <c r="J111" s="41"/>
      <c r="K111" s="43"/>
      <c r="L111" s="43"/>
      <c r="M111" s="44" t="str">
        <f aca="false">IF(AND(U111=1,N111="",AR111&gt;0,AR111&lt;&gt;""),"TODO !","")</f>
        <v/>
      </c>
      <c r="N111" s="140"/>
      <c r="O111" s="61" t="s">
        <v>27</v>
      </c>
      <c r="P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2"/>
      <c r="AB111" s="2"/>
      <c r="AC111" s="2"/>
      <c r="AD111" s="2"/>
      <c r="AE111" s="141"/>
      <c r="AG111" s="53" t="s">
        <v>103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3.2" hidden="false" customHeight="false" outlineLevel="0" collapsed="false">
      <c r="B112" s="99"/>
      <c r="C112" s="82" t="s">
        <v>104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2"/>
      <c r="AB112" s="2"/>
      <c r="AC112" s="2"/>
      <c r="AD112" s="2"/>
      <c r="AE112" s="141"/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3.2" hidden="false" customHeight="false" outlineLevel="0" collapsed="false">
      <c r="B113" s="99"/>
      <c r="C113" s="82" t="s">
        <v>105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2"/>
      <c r="AB113" s="2"/>
      <c r="AC113" s="2"/>
      <c r="AD113" s="2"/>
      <c r="AE113" s="141"/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3.2" hidden="false" customHeight="false" outlineLevel="0" collapsed="false">
      <c r="B114" s="99"/>
      <c r="C114" s="55" t="s">
        <v>106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2"/>
      <c r="AB114" s="2"/>
      <c r="AC114" s="2"/>
      <c r="AE114" s="141"/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107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2"/>
      <c r="AD116" s="2"/>
      <c r="AE116" s="2"/>
      <c r="AF116" s="0" t="str">
        <f aca="false">IF(J116="x","TODO !","")</f>
        <v/>
      </c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108</v>
      </c>
      <c r="C117" s="146"/>
      <c r="D117" s="147"/>
      <c r="E117" s="148" t="s">
        <v>109</v>
      </c>
      <c r="G117" s="29" t="s">
        <v>110</v>
      </c>
      <c r="H117" s="29"/>
      <c r="I117" s="29"/>
      <c r="J117" s="29"/>
      <c r="K117" s="149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2"/>
      <c r="AB117" s="2"/>
      <c r="AC117" s="2"/>
      <c r="AD117" s="2"/>
      <c r="AE117" s="2"/>
      <c r="AF117" s="0" t="str">
        <f aca="false">IF(J117="x","TODO !","")</f>
        <v/>
      </c>
      <c r="AG117" s="151" t="s">
        <v>111</v>
      </c>
      <c r="AH117" s="2"/>
      <c r="AI117" s="48" t="n">
        <f aca="false">U117*V117*R117</f>
        <v>0.5</v>
      </c>
      <c r="AJ117" s="2"/>
      <c r="AK117" s="152" t="str">
        <f aca="false">ByProf!AK117</f>
        <v>RTX 2080 Ti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112</v>
      </c>
      <c r="G118" s="29" t="n">
        <v>75</v>
      </c>
      <c r="H118" s="29"/>
      <c r="I118" s="29"/>
      <c r="J118" s="29"/>
      <c r="K118" s="149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2"/>
      <c r="AB118" s="2"/>
      <c r="AC118" s="2"/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f aca="false">ByProf!AK118</f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113</v>
      </c>
      <c r="G119" s="29" t="n">
        <v>4352</v>
      </c>
      <c r="H119" s="29"/>
      <c r="I119" s="29"/>
      <c r="J119" s="29"/>
      <c r="K119" s="149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2"/>
      <c r="AB119" s="2"/>
      <c r="AC119" s="2"/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f aca="false">ByProf!AK119</f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114</v>
      </c>
      <c r="G120" s="29" t="n">
        <v>68</v>
      </c>
      <c r="H120" s="29"/>
      <c r="I120" s="29"/>
      <c r="J120" s="29"/>
      <c r="K120" s="149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F120" s="0" t="str">
        <f aca="false">IF(J120="x","TODO !","")</f>
        <v/>
      </c>
      <c r="AG120" s="151"/>
      <c r="AI120" s="48" t="n">
        <f aca="false">U120*V120*R120</f>
        <v>0.5</v>
      </c>
      <c r="AJ120" s="2"/>
      <c r="AK120" s="152" t="n">
        <f aca="false">ByProf!AK120</f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115</v>
      </c>
      <c r="G121" s="29" t="n">
        <v>64</v>
      </c>
      <c r="H121" s="29"/>
      <c r="I121" s="29"/>
      <c r="J121" s="29"/>
      <c r="K121" s="149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F121" s="0" t="str">
        <f aca="false">IF(J121="x","TODO !","")</f>
        <v/>
      </c>
      <c r="AG121" s="151"/>
      <c r="AI121" s="48" t="n">
        <f aca="false">U121*V121*R121</f>
        <v>0.5</v>
      </c>
      <c r="AJ121" s="2"/>
      <c r="AK121" s="152" t="n">
        <f aca="false">ByProf!AK121</f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116</v>
      </c>
      <c r="G122" s="29" t="n">
        <v>11</v>
      </c>
      <c r="H122" s="29"/>
      <c r="I122" s="29"/>
      <c r="J122" s="29"/>
      <c r="K122" s="149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E122" s="5"/>
      <c r="AF122" s="66"/>
      <c r="AG122" s="151"/>
      <c r="AI122" s="48" t="n">
        <f aca="false">U122*V122*R122</f>
        <v>0.5</v>
      </c>
      <c r="AJ122" s="2"/>
      <c r="AK122" s="152" t="n">
        <f aca="false">ByProf!AK122</f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117</v>
      </c>
      <c r="G123" s="29" t="n">
        <v>48</v>
      </c>
      <c r="H123" s="29"/>
      <c r="I123" s="29"/>
      <c r="J123" s="29"/>
      <c r="K123" s="149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F123" s="66"/>
      <c r="AG123" s="151"/>
      <c r="AI123" s="48" t="n">
        <f aca="false">U123*V123*R123</f>
        <v>0.5</v>
      </c>
      <c r="AJ123" s="2"/>
      <c r="AK123" s="152" t="n">
        <f aca="false">ByProf!AK123</f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118</v>
      </c>
      <c r="G124" s="29" t="n">
        <v>64</v>
      </c>
      <c r="H124" s="29"/>
      <c r="I124" s="29"/>
      <c r="J124" s="29"/>
      <c r="K124" s="149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G124" s="151"/>
      <c r="AI124" s="48" t="n">
        <f aca="false">U124*V124*R124</f>
        <v>0.5</v>
      </c>
      <c r="AJ124" s="2"/>
      <c r="AK124" s="152" t="n">
        <f aca="false">ByProf!AK124</f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119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13.8" hidden="false" customHeight="false" outlineLevel="0" collapsed="false"/>
    <row r="127" customFormat="false" ht="24" hidden="false" customHeight="false" outlineLevel="0" collapsed="false">
      <c r="D127" s="161" t="s">
        <v>120</v>
      </c>
      <c r="E127" s="161"/>
      <c r="G127" s="162" t="n">
        <f aca="false">ROUND(AT132,1)</f>
        <v>5.1</v>
      </c>
      <c r="H127" s="162"/>
      <c r="I127" s="162"/>
      <c r="J127" s="162"/>
      <c r="K127" s="163"/>
      <c r="L127" s="163"/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320</v>
      </c>
      <c r="Z127" s="166" t="s">
        <v>121</v>
      </c>
      <c r="AA127" s="167" t="n">
        <f aca="false">AT127</f>
        <v>388</v>
      </c>
      <c r="AB127" s="80"/>
      <c r="AC127" s="80"/>
      <c r="AD127" s="80"/>
      <c r="AE127" s="80"/>
      <c r="AF127" s="80"/>
      <c r="AG127" s="80"/>
      <c r="AH127" s="80"/>
      <c r="AI127" s="80"/>
      <c r="AJ127" s="80"/>
      <c r="AR127" s="166" t="n">
        <f aca="false">SUM(AR6:AR124)</f>
        <v>320</v>
      </c>
      <c r="AT127" s="166" t="n">
        <f aca="false">SUM(AT6:AT124)</f>
        <v>388</v>
      </c>
      <c r="AV127" s="168" t="n">
        <f aca="false">SUM(AV6:AV124)</f>
        <v>320</v>
      </c>
      <c r="AW127" s="168" t="n">
        <f aca="false">SUM(AW6:AW124)</f>
        <v>388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122</v>
      </c>
      <c r="AS128" s="2"/>
      <c r="AT128" s="32" t="s">
        <v>123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124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125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126</v>
      </c>
      <c r="Z132" s="175"/>
      <c r="AA132" s="175"/>
      <c r="AB132" s="175"/>
      <c r="AE132" s="176" t="s">
        <v>127</v>
      </c>
      <c r="AF132" s="5"/>
      <c r="AG132" s="5"/>
      <c r="AT132" s="177" t="n">
        <f aca="false">(AT136*AR127)+AT135</f>
        <v>5.12371134020619</v>
      </c>
    </row>
    <row r="133" customFormat="false" ht="13.5" hidden="false" customHeight="true" outlineLevel="0" collapsed="false">
      <c r="M133" s="8" t="s">
        <v>128</v>
      </c>
      <c r="N133" s="8"/>
      <c r="O133" s="8"/>
      <c r="P133" s="8"/>
      <c r="S133" s="8" t="s">
        <v>129</v>
      </c>
      <c r="T133" s="8"/>
      <c r="U133" s="8"/>
      <c r="V133" s="8"/>
      <c r="Y133" s="8" t="s">
        <v>130</v>
      </c>
      <c r="Z133" s="8"/>
      <c r="AA133" s="8"/>
      <c r="AB133" s="8"/>
      <c r="AT133" s="32" t="s">
        <v>120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131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132</v>
      </c>
      <c r="C136" s="40" t="s">
        <v>133</v>
      </c>
      <c r="D136" s="40"/>
      <c r="E136" s="40"/>
      <c r="F136" s="40"/>
      <c r="G136" s="40"/>
      <c r="H136" s="40"/>
      <c r="I136" s="40"/>
      <c r="J136" s="40"/>
      <c r="K136" s="40"/>
      <c r="L136" s="0" t="str">
        <f aca="false">IF(C136="","TODO !","Merci !")</f>
        <v>Merci !</v>
      </c>
      <c r="M136" s="181"/>
      <c r="N136" s="181"/>
      <c r="O136" s="181"/>
      <c r="P136" s="181"/>
      <c r="S136" s="162" t="n">
        <f aca="false">G127+IF(M136&lt;&gt;"",MIN(M136,0.5),0)</f>
        <v>5.1</v>
      </c>
      <c r="T136" s="162"/>
      <c r="U136" s="162"/>
      <c r="V136" s="162"/>
      <c r="Y136" s="182" t="n">
        <f aca="false">MAX(1,MIN(S136,6))</f>
        <v>5.1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185"/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134</v>
      </c>
      <c r="AS136" s="186"/>
      <c r="AT136" s="187" t="n">
        <f aca="false">5/AT127</f>
        <v>0.0128865979381443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135</v>
      </c>
      <c r="C137" s="189" t="s">
        <v>136</v>
      </c>
      <c r="D137" s="189"/>
      <c r="E137" s="189"/>
      <c r="F137" s="189"/>
      <c r="G137" s="189"/>
      <c r="H137" s="189"/>
      <c r="I137" s="189"/>
      <c r="J137" s="189"/>
      <c r="K137" s="189"/>
      <c r="L137" s="0" t="str">
        <f aca="false">IF(C137="","TODO !","Merci !")</f>
        <v>Merci !</v>
      </c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185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137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138</v>
      </c>
      <c r="C138" s="192" t="s">
        <v>139</v>
      </c>
      <c r="D138" s="192"/>
      <c r="E138" s="192"/>
      <c r="F138" s="192"/>
      <c r="G138" s="192"/>
      <c r="H138" s="192"/>
      <c r="I138" s="192"/>
      <c r="J138" s="192"/>
      <c r="K138" s="192"/>
      <c r="L138" s="0" t="str">
        <f aca="false">IF(C138="","TODO !","Merci !")</f>
        <v>Merci !</v>
      </c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185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140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141</v>
      </c>
      <c r="C139" s="195" t="n">
        <v>27</v>
      </c>
      <c r="D139" s="195"/>
      <c r="E139" s="195"/>
      <c r="F139" s="195"/>
      <c r="G139" s="195"/>
      <c r="H139" s="195"/>
      <c r="I139" s="195"/>
      <c r="J139" s="195"/>
      <c r="K139" s="195"/>
      <c r="L139" s="0" t="str">
        <f aca="false">IF(C139="","TODO !","Merci !")</f>
        <v>Merci !</v>
      </c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185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132</v>
      </c>
      <c r="C142" s="40" t="s">
        <v>133</v>
      </c>
      <c r="D142" s="40"/>
      <c r="E142" s="40"/>
      <c r="F142" s="40"/>
      <c r="G142" s="40"/>
      <c r="H142" s="40"/>
      <c r="I142" s="40"/>
      <c r="J142" s="40"/>
      <c r="K142" s="40"/>
      <c r="L142" s="0" t="str">
        <f aca="false">IF(C142="","TODO !","Merci !")</f>
        <v>Merci !</v>
      </c>
      <c r="M142" s="181"/>
      <c r="N142" s="181"/>
      <c r="O142" s="181"/>
      <c r="P142" s="181"/>
      <c r="S142" s="162" t="n">
        <f aca="false">G127+IF(M142&lt;&gt;"",MIN(M142,0.5),0)</f>
        <v>5.1</v>
      </c>
      <c r="T142" s="162"/>
      <c r="U142" s="162"/>
      <c r="V142" s="162"/>
      <c r="Y142" s="182" t="n">
        <f aca="false">MAX(1,MIN(S142,6))</f>
        <v>5.1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185"/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135</v>
      </c>
      <c r="C143" s="189" t="s">
        <v>142</v>
      </c>
      <c r="D143" s="189"/>
      <c r="E143" s="189"/>
      <c r="F143" s="189"/>
      <c r="G143" s="189"/>
      <c r="H143" s="189"/>
      <c r="I143" s="189"/>
      <c r="J143" s="189"/>
      <c r="K143" s="189"/>
      <c r="L143" s="0" t="str">
        <f aca="false">IF(C143="","TODO !","Merci !")</f>
        <v>Merci !</v>
      </c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185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138</v>
      </c>
      <c r="C144" s="192" t="s">
        <v>143</v>
      </c>
      <c r="D144" s="192"/>
      <c r="E144" s="192"/>
      <c r="F144" s="192"/>
      <c r="G144" s="192"/>
      <c r="H144" s="192"/>
      <c r="I144" s="192"/>
      <c r="J144" s="192"/>
      <c r="K144" s="192"/>
      <c r="L144" s="0" t="str">
        <f aca="false">IF(C144="","TODO !","Merci !")</f>
        <v>Merci !</v>
      </c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185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141</v>
      </c>
      <c r="C145" s="195" t="n">
        <v>26</v>
      </c>
      <c r="D145" s="195"/>
      <c r="E145" s="195"/>
      <c r="F145" s="195"/>
      <c r="G145" s="195"/>
      <c r="H145" s="195"/>
      <c r="I145" s="195"/>
      <c r="J145" s="195"/>
      <c r="K145" s="195"/>
      <c r="L145" s="0" t="str">
        <f aca="false">IF(C145="","TODO !","Merci !")</f>
        <v>Merci !</v>
      </c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185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144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132</v>
      </c>
      <c r="C148" s="40" t="s">
        <v>145</v>
      </c>
      <c r="D148" s="40"/>
      <c r="E148" s="40"/>
      <c r="F148" s="40"/>
      <c r="G148" s="40"/>
      <c r="H148" s="40"/>
      <c r="I148" s="40"/>
      <c r="J148" s="40"/>
      <c r="K148" s="40"/>
      <c r="L148" s="0" t="str">
        <f aca="false">IF(C148="","TODO !","Merci !")</f>
        <v>Merci !</v>
      </c>
      <c r="M148" s="181"/>
      <c r="N148" s="181"/>
      <c r="O148" s="181"/>
      <c r="P148" s="181"/>
      <c r="S148" s="162" t="n">
        <f aca="false">G127+IF(M148&lt;&gt;"",MIN(M148,0.5),0)</f>
        <v>5.1</v>
      </c>
      <c r="T148" s="162"/>
      <c r="U148" s="162"/>
      <c r="V148" s="162"/>
      <c r="Y148" s="182" t="n">
        <f aca="false">MAX(1,MIN(S148,6))</f>
        <v>5.1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185"/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135</v>
      </c>
      <c r="C149" s="189" t="s">
        <v>145</v>
      </c>
      <c r="D149" s="189"/>
      <c r="E149" s="189"/>
      <c r="F149" s="189"/>
      <c r="G149" s="189"/>
      <c r="H149" s="189"/>
      <c r="I149" s="189"/>
      <c r="J149" s="189"/>
      <c r="K149" s="189"/>
      <c r="L149" s="0" t="str">
        <f aca="false">IF(C149="","TODO !","Merci !")</f>
        <v>Merci !</v>
      </c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185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138</v>
      </c>
      <c r="C150" s="189" t="s">
        <v>145</v>
      </c>
      <c r="D150" s="189"/>
      <c r="E150" s="189"/>
      <c r="F150" s="189"/>
      <c r="G150" s="189"/>
      <c r="H150" s="189"/>
      <c r="I150" s="189"/>
      <c r="J150" s="189"/>
      <c r="K150" s="189"/>
      <c r="L150" s="0" t="str">
        <f aca="false">IF(C150="","TODO !","Merci !")</f>
        <v>Merci !</v>
      </c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185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141</v>
      </c>
      <c r="C151" s="195" t="s">
        <v>145</v>
      </c>
      <c r="D151" s="195"/>
      <c r="E151" s="195"/>
      <c r="F151" s="195"/>
      <c r="G151" s="195"/>
      <c r="H151" s="195"/>
      <c r="I151" s="195"/>
      <c r="J151" s="195"/>
      <c r="K151" s="195"/>
      <c r="L151" s="0" t="str">
        <f aca="false">IF(C151="","TODO !","Merci !")</f>
        <v>Merci !</v>
      </c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185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144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146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141</v>
      </c>
      <c r="C155" s="198" t="n">
        <v>27</v>
      </c>
      <c r="D155" s="198"/>
      <c r="E155" s="198"/>
      <c r="F155" s="198"/>
      <c r="G155" s="198"/>
      <c r="H155" s="198"/>
      <c r="I155" s="198"/>
      <c r="J155" s="198"/>
      <c r="K155" s="198"/>
      <c r="L155" s="0" t="str">
        <f aca="false">IF(C155="","TODO !","Merci !")</f>
        <v>Merci !</v>
      </c>
      <c r="M155" s="38" t="s">
        <v>147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148</v>
      </c>
      <c r="O156" s="34"/>
      <c r="P156" s="93"/>
      <c r="Q156" s="21" t="s">
        <v>149</v>
      </c>
    </row>
    <row r="157" customFormat="false" ht="13.2" hidden="false" customHeight="false" outlineLevel="0" collapsed="false">
      <c r="M157" s="82"/>
      <c r="N157" s="34" t="s">
        <v>150</v>
      </c>
      <c r="O157" s="34"/>
      <c r="P157" s="93"/>
      <c r="Q157" s="21" t="s">
        <v>151</v>
      </c>
    </row>
    <row r="158" customFormat="false" ht="13.2" hidden="false" customHeight="false" outlineLevel="0" collapsed="false">
      <c r="M158" s="82" t="s">
        <v>152</v>
      </c>
      <c r="N158" s="34"/>
      <c r="O158" s="34"/>
      <c r="P158" s="93"/>
      <c r="Q158" s="21" t="s">
        <v>151</v>
      </c>
    </row>
    <row r="159" customFormat="false" ht="13.2" hidden="false" customHeight="false" outlineLevel="0" collapsed="false">
      <c r="M159" s="82" t="s">
        <v>153</v>
      </c>
      <c r="N159" s="34"/>
      <c r="O159" s="34"/>
      <c r="P159" s="93"/>
      <c r="Q159" s="21" t="s">
        <v>149</v>
      </c>
    </row>
    <row r="160" customFormat="false" ht="13.2" hidden="false" customHeight="false" outlineLevel="0" collapsed="false">
      <c r="M160" s="82" t="s">
        <v>154</v>
      </c>
      <c r="P160" s="96"/>
      <c r="Q160" s="21" t="s">
        <v>149</v>
      </c>
    </row>
    <row r="161" customFormat="false" ht="13.2" hidden="false" customHeight="false" outlineLevel="0" collapsed="false">
      <c r="M161" s="55" t="s">
        <v>155</v>
      </c>
      <c r="N161" s="132"/>
      <c r="O161" s="132"/>
      <c r="P161" s="199"/>
      <c r="Q161" s="21" t="s">
        <v>151</v>
      </c>
    </row>
  </sheetData>
  <mergeCells count="154">
    <mergeCell ref="G2:J2"/>
    <mergeCell ref="N2:P2"/>
    <mergeCell ref="B3:E3"/>
    <mergeCell ref="G3:J3"/>
    <mergeCell ref="L3:L4"/>
    <mergeCell ref="N3:O3"/>
    <mergeCell ref="P3:P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B4:E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36:L139 L142:L155 AF6:AF8 AF11:AF17 AF20:AF29 AF32:AF44 AF47:AF53 AF56:AF108 AF112:AF114 AF117:AF121 AF9:AG10 AF18:AG19 AF30:AG31 AF45:AG46 AF54:AG55 AF109:AG111 AF115:AG116 AG101:AG102">
    <cfRule type="containsText" priority="3" operator="containsText" aboveAverage="0" equalAverage="0" bottom="0" percent="0" rank="0" text="TODO" dxfId="0"/>
  </conditionalFormatting>
  <conditionalFormatting sqref="M140:P140">
    <cfRule type="cellIs" priority="4" operator="equal" aboveAverage="0" equalAverage="0" bottom="0" percent="0" rank="0" text="" dxfId="0">
      <formula>"max 0.5"</formula>
    </cfRule>
  </conditionalFormatting>
  <conditionalFormatting sqref="M146:P146">
    <cfRule type="cellIs" priority="5" operator="equal" aboveAverage="0" equalAverage="0" bottom="0" percent="0" rank="0" text="" dxfId="0">
      <formula>"max 0.5"</formula>
    </cfRule>
  </conditionalFormatting>
  <conditionalFormatting sqref="M152:P152">
    <cfRule type="cellIs" priority="6" operator="equal" aboveAverage="0" equalAverage="0" bottom="0" percent="0" rank="0" text="" dxfId="0">
      <formula>"max 0.5"</formula>
    </cfRule>
  </conditionalFormatting>
  <conditionalFormatting sqref="P11:P12">
    <cfRule type="cellIs" priority="7" operator="lessThan" aboveAverage="0" equalAverage="0" bottom="0" percent="0" rank="0" text="" dxfId="1">
      <formula>1</formula>
    </cfRule>
  </conditionalFormatting>
  <conditionalFormatting sqref="P21:P24">
    <cfRule type="cellIs" priority="8" operator="lessThan" aboveAverage="0" equalAverage="0" bottom="0" percent="0" rank="0" text="" dxfId="1">
      <formula>1</formula>
    </cfRule>
    <cfRule type="cellIs" priority="9" operator="lessThan" aboveAverage="0" equalAverage="0" bottom="0" percent="0" rank="0" text="" dxfId="2">
      <formula>0.5</formula>
    </cfRule>
    <cfRule type="cellIs" priority="10" operator="lessThan" aboveAverage="0" equalAverage="0" bottom="0" percent="0" rank="0" text="" dxfId="2">
      <formula>1</formula>
    </cfRule>
  </conditionalFormatting>
  <conditionalFormatting sqref="P48:P49">
    <cfRule type="cellIs" priority="11" operator="lessThan" aboveAverage="0" equalAverage="0" bottom="0" percent="0" rank="0" text="" dxfId="2">
      <formula>1</formula>
    </cfRule>
  </conditionalFormatting>
  <conditionalFormatting sqref="P52:P53">
    <cfRule type="cellIs" priority="12" operator="lessThan" aboveAverage="0" equalAverage="0" bottom="0" percent="0" rank="0" text="" dxfId="2">
      <formula>1</formula>
    </cfRule>
  </conditionalFormatting>
  <conditionalFormatting sqref="P57:P58">
    <cfRule type="cellIs" priority="13" operator="lessThan" aboveAverage="0" equalAverage="0" bottom="0" percent="0" rank="0" text="" dxfId="2">
      <formula>1</formula>
    </cfRule>
  </conditionalFormatting>
  <conditionalFormatting sqref="P61:P62">
    <cfRule type="cellIs" priority="14" operator="lessThan" aboveAverage="0" equalAverage="0" bottom="0" percent="0" rank="0" text="" dxfId="3">
      <formula>1</formula>
    </cfRule>
  </conditionalFormatting>
  <conditionalFormatting sqref="P85:P86">
    <cfRule type="cellIs" priority="15" operator="lessThan" aboveAverage="0" equalAverage="0" bottom="0" percent="0" rank="0" text="" dxfId="3">
      <formula>1</formula>
    </cfRule>
  </conditionalFormatting>
  <conditionalFormatting sqref="P93:P100">
    <cfRule type="cellIs" priority="16" operator="lessThan" aboveAverage="0" equalAverage="0" bottom="0" percent="0" rank="0" text="" dxfId="4">
      <formula>1</formula>
    </cfRule>
  </conditionalFormatting>
  <conditionalFormatting sqref="AF136:AQ136 AF142:AW142 AF148:AW148 AH137:AR138 AH139:AW139 AH143:AW145 AH149:AW151 AU136:AW138">
    <cfRule type="cellIs" priority="17" operator="equal" aboveAverage="0" equalAverage="0" bottom="0" percent="0" rank="0" text="" dxfId="4">
      <formula>"TODO ! Justifiier Bonus/malus !"</formula>
    </cfRule>
  </conditionalFormatting>
  <conditionalFormatting sqref="AG117">
    <cfRule type="containsText" priority="18" operator="containsText" aboveAverage="0" equalAverage="0" bottom="0" percent="0" rank="0" text="TODO" dxfId="4"/>
  </conditionalFormatting>
  <conditionalFormatting sqref="AI3:AI4">
    <cfRule type="cellIs" priority="19" operator="equal" aboveAverage="0" equalAverage="0" bottom="0" percent="0" rank="0" text="" dxfId="5">
      <formula>1</formula>
    </cfRule>
  </conditionalFormatting>
  <conditionalFormatting sqref="AK4:AT4 AR137">
    <cfRule type="cellIs" priority="20" operator="equal" aboveAverage="0" equalAverage="0" bottom="0" percent="0" rank="0" text="" dxfId="6">
      <formula>1</formula>
    </cfRule>
  </conditionalFormatting>
  <conditionalFormatting sqref="AV4:AW4">
    <cfRule type="cellIs" priority="21" operator="equal" aboveAverage="0" equalAverage="0" bottom="0" percent="0" rank="0" text="" dxfId="7">
      <formula>1</formula>
    </cfRule>
  </conditionalFormatting>
  <hyperlinks>
    <hyperlink ref="C138" r:id="rId1" display="guillaume.mouchet@he-arc.ch"/>
    <hyperlink ref="C144" r:id="rId2" display="benjamin.mouchet@he-arc.ch"/>
  </hyperlinks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false" showOutlineSymbols="true" defaultGridColor="true" view="normal" topLeftCell="A25" colorId="64" zoomScale="100" zoomScaleNormal="100" zoomScalePageLayoutView="100" workbookViewId="0">
      <selection pane="topLeft" activeCell="U25" activeCellId="0" sqref="U25"/>
    </sheetView>
  </sheetViews>
  <sheetFormatPr defaultRowHeight="13.2" zeroHeight="false" outlineLevelRow="1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3" min="12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7.34"/>
    <col collapsed="false" customWidth="true" hidden="false" outlineLevel="0" max="30" min="30" style="0" width="5.55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tru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200" t="s">
        <v>156</v>
      </c>
      <c r="C3" s="200"/>
      <c r="D3" s="200"/>
      <c r="E3" s="200"/>
      <c r="F3" s="7"/>
      <c r="G3" s="8" t="s">
        <v>2</v>
      </c>
      <c r="H3" s="8"/>
      <c r="I3" s="8"/>
      <c r="J3" s="8"/>
      <c r="K3" s="9"/>
      <c r="L3" s="10"/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201" t="s">
        <v>8</v>
      </c>
      <c r="AB3" s="15"/>
      <c r="AC3" s="202" t="s">
        <v>9</v>
      </c>
      <c r="AD3" s="13"/>
      <c r="AE3" s="16" t="s">
        <v>157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7"/>
      <c r="C4" s="203"/>
      <c r="D4" s="203"/>
      <c r="E4" s="21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201"/>
      <c r="AB4" s="15"/>
      <c r="AC4" s="202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/>
      <c r="K6" s="43"/>
      <c r="L6" s="43"/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str">
        <f aca="false">IF(U6=1,AR6,"")</f>
        <v/>
      </c>
      <c r="Z6" s="50"/>
      <c r="AA6" s="204"/>
      <c r="AB6" s="50"/>
      <c r="AC6" s="150" t="e">
        <f aca="false">IF(Y6&lt;&gt;ByStudent!Y6,Y6-ByStudent!Y6,0)</f>
        <v>#VALUE!</v>
      </c>
      <c r="AD6" s="50"/>
      <c r="AE6" s="205"/>
      <c r="AF6" s="0" t="e">
        <f aca="false">IF(AND(AC6&lt;0,AE6=""),"TODO !","")</f>
        <v>#VALUE!</v>
      </c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str">
        <f aca="false">IF(J6="x",AN$4,"")</f>
        <v/>
      </c>
      <c r="AO6" s="2"/>
      <c r="AP6" s="48" t="n">
        <f aca="false">COUNTIF(G6:J6,"=x")</f>
        <v>0</v>
      </c>
      <c r="AQ6" s="48" t="str">
        <f aca="false">IF(AP6&gt;0,AVERAGE(AK6:AN6),"")</f>
        <v/>
      </c>
      <c r="AR6" s="48" t="str">
        <f aca="false">IF(AND(AP6&gt;0,U6=1),AQ6*R6,"")</f>
        <v/>
      </c>
      <c r="AS6" s="2"/>
      <c r="AT6" s="48" t="n">
        <f aca="false">AI6*3</f>
        <v>12</v>
      </c>
      <c r="AV6" s="54" t="n">
        <f aca="false">SUM(AR6:AR7)</f>
        <v>0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/>
      <c r="K7" s="43"/>
      <c r="L7" s="43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str">
        <f aca="false">IF(U7=1,AR7,"")</f>
        <v/>
      </c>
      <c r="Z7" s="50"/>
      <c r="AA7" s="204"/>
      <c r="AB7" s="50"/>
      <c r="AC7" s="150" t="e">
        <f aca="false">IF(Y7&lt;&gt;ByStudent!Y7,Y7-ByStudent!Y7,0)</f>
        <v>#VALUE!</v>
      </c>
      <c r="AD7" s="50"/>
      <c r="AE7" s="205"/>
      <c r="AF7" s="0" t="e">
        <f aca="false">IF(AND(AC7&lt;0,AE7=""),"TODO !","")</f>
        <v>#VALUE!</v>
      </c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str">
        <f aca="false">IF(J7="x",AN$4,"")</f>
        <v/>
      </c>
      <c r="AO7" s="2"/>
      <c r="AP7" s="48" t="n">
        <f aca="false">COUNTIF(G7:J7,"=x")</f>
        <v>0</v>
      </c>
      <c r="AQ7" s="48" t="str">
        <f aca="false">IF(AP7&gt;0,AVERAGE(AK7:AN7),"")</f>
        <v/>
      </c>
      <c r="AR7" s="48" t="str">
        <f aca="false">IF(AND(AP7&gt;0,U7=1),AQ7*R7,"")</f>
        <v/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F8" s="0" t="str">
        <f aca="false">IF(AND(AC8&lt;0,AE8=""),"TODO !","")</f>
        <v/>
      </c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F9" s="0" t="str">
        <f aca="false">IF(AND(AC9&lt;0,AE9=""),"TODO !","")</f>
        <v/>
      </c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/>
      <c r="K10" s="43"/>
      <c r="L10" s="43"/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str">
        <f aca="false">IF(U10=1,AR10,"")</f>
        <v/>
      </c>
      <c r="Z10" s="50"/>
      <c r="AA10" s="204"/>
      <c r="AB10" s="50"/>
      <c r="AC10" s="150" t="e">
        <f aca="false">IF(Y10&lt;&gt;ByStudent!Y10,Y10-ByStudent!Y10,0)</f>
        <v>#VALUE!</v>
      </c>
      <c r="AD10" s="50"/>
      <c r="AE10" s="205"/>
      <c r="AF10" s="0" t="e">
        <f aca="false">IF(AND(AC10&lt;0,AE10=""),"TODO !","")</f>
        <v>#VALUE!</v>
      </c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str">
        <f aca="false">IF(J10="x",AN$4,"")</f>
        <v/>
      </c>
      <c r="AO10" s="2"/>
      <c r="AP10" s="48" t="n">
        <f aca="false">COUNTIF(G10:J10,"=x")</f>
        <v>0</v>
      </c>
      <c r="AQ10" s="48" t="str">
        <f aca="false">IF(AP10&gt;0,AVERAGE(AK10:AN10),"")</f>
        <v/>
      </c>
      <c r="AR10" s="48" t="str">
        <f aca="false">IF(AND(AP10&gt;0,U10=1),AQ10*R10,"")</f>
        <v/>
      </c>
      <c r="AS10" s="2"/>
      <c r="AT10" s="48" t="n">
        <f aca="false">AI10*3</f>
        <v>6</v>
      </c>
      <c r="AV10" s="54" t="n">
        <f aca="false">SUM(AR10:AR17)</f>
        <v>0</v>
      </c>
      <c r="AW10" s="54" t="n">
        <f aca="false">SUM(AT10:AT17)</f>
        <v>66</v>
      </c>
    </row>
    <row r="11" customFormat="false" ht="13.2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/>
      <c r="K11" s="43"/>
      <c r="L11" s="43"/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str">
        <f aca="false">IF(U11=1,AR11,"")</f>
        <v/>
      </c>
      <c r="Z11" s="50"/>
      <c r="AA11" s="150"/>
      <c r="AB11" s="50"/>
      <c r="AC11" s="150" t="e">
        <f aca="false">IF(Y11&lt;&gt;ByStudent!Y11,Y11-ByStudent!Y11,0)</f>
        <v>#VALUE!</v>
      </c>
      <c r="AD11" s="50"/>
      <c r="AE11" s="74"/>
      <c r="AF11" s="0" t="e">
        <f aca="false">IF(AND(AC11&lt;0,AE11=""),"TODO !","")</f>
        <v>#VALUE!</v>
      </c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str">
        <f aca="false">IF(J11="x",AN$4,"")</f>
        <v/>
      </c>
      <c r="AO11" s="2"/>
      <c r="AP11" s="48" t="n">
        <f aca="false">COUNTIF(G11:J11,"=x")</f>
        <v>0</v>
      </c>
      <c r="AQ11" s="48" t="str">
        <f aca="false">IF(AP11&gt;0,AVERAGE(AK11:AN11),"")</f>
        <v/>
      </c>
      <c r="AR11" s="48" t="str">
        <f aca="false">IF(AND(AP11&gt;0,U11=1),AQ11*R11,"")</f>
        <v/>
      </c>
      <c r="AS11" s="2"/>
      <c r="AT11" s="48" t="n">
        <f aca="false">AI11*3</f>
        <v>42</v>
      </c>
      <c r="AV11" s="54"/>
      <c r="AW11" s="54"/>
    </row>
    <row r="12" customFormat="false" ht="13.2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/>
      <c r="K12" s="43"/>
      <c r="L12" s="43"/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str">
        <f aca="false">IF(U12=1,AR12,"")</f>
        <v/>
      </c>
      <c r="Z12" s="50"/>
      <c r="AA12" s="150"/>
      <c r="AB12" s="50"/>
      <c r="AC12" s="150" t="e">
        <f aca="false">IF(Y12&lt;&gt;ByStudent!Y12,Y12-ByStudent!Y12,0)</f>
        <v>#VALUE!</v>
      </c>
      <c r="AD12" s="50"/>
      <c r="AE12" s="74"/>
      <c r="AF12" s="0" t="e">
        <f aca="false">IF(AND(AC12&lt;0,AE12=""),"TODO !","")</f>
        <v>#VALUE!</v>
      </c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str">
        <f aca="false">IF(J12="x",AN$4,"")</f>
        <v/>
      </c>
      <c r="AO12" s="2"/>
      <c r="AP12" s="48" t="n">
        <f aca="false">COUNTIF(G12:J12,"=x")</f>
        <v>0</v>
      </c>
      <c r="AQ12" s="48" t="str">
        <f aca="false">IF(AP12&gt;0,AVERAGE(AK12:AN12),"")</f>
        <v/>
      </c>
      <c r="AR12" s="48" t="str">
        <f aca="false">IF(AND(AP12&gt;0,U12=1),AQ12*R12,"")</f>
        <v/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/>
      <c r="K13" s="43"/>
      <c r="L13" s="43"/>
      <c r="Q13" s="43"/>
      <c r="R13" s="47" t="n">
        <v>6</v>
      </c>
      <c r="S13" s="8"/>
      <c r="U13" s="48"/>
      <c r="V13" s="48"/>
      <c r="W13" s="26" t="str">
        <f aca="false">IF(AND(U13=1,V13=0),"Bonus","")</f>
        <v/>
      </c>
      <c r="X13" s="26"/>
      <c r="Y13" s="49" t="str">
        <f aca="false">IF(U13=1,AR13,"")</f>
        <v/>
      </c>
      <c r="Z13" s="50"/>
      <c r="AA13" s="150"/>
      <c r="AB13" s="50"/>
      <c r="AC13" s="150" t="e">
        <f aca="false">IF(Y13&lt;&gt;ByStudent!Y13,Y13-ByStudent!Y13,0)</f>
        <v>#VALUE!</v>
      </c>
      <c r="AD13" s="50"/>
      <c r="AE13" s="206"/>
      <c r="AF13" s="0" t="e">
        <f aca="false">IF(AND(AC13&lt;0,AE13=""),"TODO !","")</f>
        <v>#VALUE!</v>
      </c>
      <c r="AG13" s="53"/>
      <c r="AH13" s="2"/>
      <c r="AI13" s="48" t="n">
        <f aca="false">U13*V13*R13</f>
        <v>0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str">
        <f aca="false">IF(J13="x",AN$4,"")</f>
        <v/>
      </c>
      <c r="AO13" s="2"/>
      <c r="AP13" s="48" t="n">
        <f aca="false">COUNTIF(G13:J13,"=x")</f>
        <v>0</v>
      </c>
      <c r="AQ13" s="48" t="str">
        <f aca="false">IF(AP13&gt;0,AVERAGE(AK13:AN13),"")</f>
        <v/>
      </c>
      <c r="AR13" s="48" t="str">
        <f aca="false">IF(AND(AP13&gt;0,U13=1),AQ13*R13,"")</f>
        <v/>
      </c>
      <c r="AS13" s="2"/>
      <c r="AT13" s="48" t="n">
        <f aca="false">AI13*3</f>
        <v>0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F14" s="0" t="str">
        <f aca="false">IF(AND(AC14&lt;0,AE14=""),"TODO !","")</f>
        <v/>
      </c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37</v>
      </c>
      <c r="F15" s="34"/>
      <c r="G15" s="41"/>
      <c r="H15" s="41"/>
      <c r="I15" s="58"/>
      <c r="J15" s="59"/>
      <c r="K15" s="43"/>
      <c r="L15" s="43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str">
        <f aca="false">IF(U15=1,AR15,"")</f>
        <v/>
      </c>
      <c r="Z15" s="50"/>
      <c r="AA15" s="150"/>
      <c r="AB15" s="50"/>
      <c r="AC15" s="150" t="e">
        <f aca="false">IF(Y15&lt;&gt;ByStudent!Y15,Y15-ByStudent!Y15,0)</f>
        <v>#VALUE!</v>
      </c>
      <c r="AD15" s="50"/>
      <c r="AE15" s="74"/>
      <c r="AF15" s="0" t="e">
        <f aca="false">IF(AND(AC15&lt;0,AE15=""),"TODO !","")</f>
        <v>#VALUE!</v>
      </c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str">
        <f aca="false">IF(J15="x",AN$4,"")</f>
        <v/>
      </c>
      <c r="AO15" s="2"/>
      <c r="AP15" s="48" t="n">
        <f aca="false">COUNTIF(G15:J15,"=x")</f>
        <v>0</v>
      </c>
      <c r="AQ15" s="48" t="str">
        <f aca="false">IF(AP15&gt;0,AVERAGE(AK15:AN15),"")</f>
        <v/>
      </c>
      <c r="AR15" s="48" t="str">
        <f aca="false">IF(AND(AP15&gt;0,U15=1),AQ15*R15,"")</f>
        <v/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/>
      <c r="K16" s="43"/>
      <c r="L16" s="43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str">
        <f aca="false">IF(U16=1,AR16,"")</f>
        <v/>
      </c>
      <c r="Z16" s="50"/>
      <c r="AA16" s="150"/>
      <c r="AB16" s="50"/>
      <c r="AC16" s="150" t="e">
        <f aca="false">IF(Y16&lt;&gt;ByStudent!Y16,Y16-ByStudent!Y16,0)</f>
        <v>#VALUE!</v>
      </c>
      <c r="AD16" s="50"/>
      <c r="AE16" s="74"/>
      <c r="AF16" s="0" t="e">
        <f aca="false">IF(AND(AC16&lt;0,AE16=""),"TODO !","")</f>
        <v>#VALUE!</v>
      </c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str">
        <f aca="false">IF(J16="x",AN$4,"")</f>
        <v/>
      </c>
      <c r="AO16" s="2"/>
      <c r="AP16" s="48" t="n">
        <f aca="false">COUNTIF(G16:J16,"=x")</f>
        <v>0</v>
      </c>
      <c r="AQ16" s="48" t="str">
        <f aca="false">IF(AP16&gt;0,AVERAGE(AK16:AN16),"")</f>
        <v/>
      </c>
      <c r="AR16" s="48" t="str">
        <f aca="false">IF(AND(AP16&gt;0,U16=1),AQ16*R16,"")</f>
        <v/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/>
      <c r="K17" s="43"/>
      <c r="L17" s="43"/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str">
        <f aca="false">IF(U17=1,AR17,"")</f>
        <v/>
      </c>
      <c r="Z17" s="50"/>
      <c r="AA17" s="150"/>
      <c r="AB17" s="50"/>
      <c r="AC17" s="150" t="e">
        <f aca="false">IF(Y17&lt;&gt;ByStudent!Y17,Y17-ByStudent!Y17,0)</f>
        <v>#VALUE!</v>
      </c>
      <c r="AD17" s="50"/>
      <c r="AE17" s="74"/>
      <c r="AF17" s="0" t="e">
        <f aca="false">IF(AND(AC17&lt;0,AE17=""),"TODO !","")</f>
        <v>#VALUE!</v>
      </c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str">
        <f aca="false">IF(J17="x",AN$4,"")</f>
        <v/>
      </c>
      <c r="AO17" s="2"/>
      <c r="AP17" s="48" t="n">
        <f aca="false">COUNTIF(G17:J17,"=x")</f>
        <v>0</v>
      </c>
      <c r="AQ17" s="48" t="str">
        <f aca="false">IF(AP17&gt;0,AVERAGE(AK17:AN17),"")</f>
        <v/>
      </c>
      <c r="AR17" s="48" t="str">
        <f aca="false">IF(AND(AP17&gt;0,U17=1),AQ17*R17,"")</f>
        <v/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50"/>
      <c r="AD18" s="80"/>
      <c r="AE18" s="73"/>
      <c r="AF18" s="0" t="str">
        <f aca="false">IF(AND(AC18&lt;0,AE18=""),"TODO !","")</f>
        <v/>
      </c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0" collapsed="false">
      <c r="G19" s="78"/>
      <c r="H19" s="78"/>
      <c r="I19" s="78"/>
      <c r="J19" s="78"/>
      <c r="L19" s="2"/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50"/>
      <c r="AD19" s="80"/>
      <c r="AE19" s="73"/>
      <c r="AF19" s="0" t="str">
        <f aca="false">IF(AND(AC19&lt;0,AE19=""),"TODO !","")</f>
        <v/>
      </c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38</v>
      </c>
      <c r="C20" s="38" t="s">
        <v>39</v>
      </c>
      <c r="D20" s="39"/>
      <c r="E20" s="71" t="s">
        <v>32</v>
      </c>
      <c r="F20" s="34"/>
      <c r="G20" s="41"/>
      <c r="H20" s="41"/>
      <c r="I20" s="42"/>
      <c r="J20" s="41"/>
      <c r="K20" s="43"/>
      <c r="L20" s="43"/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str">
        <f aca="false">IF(U20=1,AR20,"")</f>
        <v/>
      </c>
      <c r="Z20" s="50"/>
      <c r="AA20" s="150"/>
      <c r="AB20" s="50"/>
      <c r="AC20" s="150" t="e">
        <f aca="false">IF(Y20&lt;&gt;ByStudent!Y20,Y20-ByStudent!Y20,0)</f>
        <v>#VALUE!</v>
      </c>
      <c r="AD20" s="50"/>
      <c r="AE20" s="74"/>
      <c r="AF20" s="0" t="e">
        <f aca="false">IF(AND(AC20&lt;0,AE20=""),"TODO !","")</f>
        <v>#VALUE!</v>
      </c>
      <c r="AG20" s="53" t="s">
        <v>40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str">
        <f aca="false">IF(J20="x",AN$4,"")</f>
        <v/>
      </c>
      <c r="AO20" s="2"/>
      <c r="AP20" s="48" t="n">
        <f aca="false">COUNTIF(G20:J20,"=x")</f>
        <v>0</v>
      </c>
      <c r="AQ20" s="48" t="str">
        <f aca="false">IF(AP20&gt;0,AVERAGE(AK20:AN20),"")</f>
        <v/>
      </c>
      <c r="AR20" s="48" t="str">
        <f aca="false">IF(AND(AP20&gt;0,U20=1),AQ20*R20,"")</f>
        <v/>
      </c>
      <c r="AS20" s="2"/>
      <c r="AT20" s="48" t="n">
        <f aca="false">AI20*3</f>
        <v>18</v>
      </c>
      <c r="AV20" s="54" t="n">
        <f aca="false">SUM(AR20:AR29)</f>
        <v>0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41</v>
      </c>
      <c r="D21" s="34"/>
      <c r="E21" s="71"/>
      <c r="F21" s="34"/>
      <c r="G21" s="41"/>
      <c r="H21" s="41"/>
      <c r="I21" s="42"/>
      <c r="J21" s="41"/>
      <c r="K21" s="43"/>
      <c r="L21" s="43"/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str">
        <f aca="false">IF(U21=1,AR21,"")</f>
        <v/>
      </c>
      <c r="Z21" s="50"/>
      <c r="AA21" s="150"/>
      <c r="AB21" s="50"/>
      <c r="AC21" s="150" t="e">
        <f aca="false">IF(Y21&lt;&gt;ByStudent!Y21,Y21-ByStudent!Y21,0)</f>
        <v>#VALUE!</v>
      </c>
      <c r="AD21" s="50"/>
      <c r="AE21" s="74"/>
      <c r="AF21" s="0" t="e">
        <f aca="false">IF(AND(AC21&lt;0,AE21=""),"TODO !","")</f>
        <v>#VALUE!</v>
      </c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str">
        <f aca="false">IF(J21="x",AN$4,"")</f>
        <v/>
      </c>
      <c r="AO21" s="2"/>
      <c r="AP21" s="48" t="n">
        <f aca="false">COUNTIF(G21:J21,"=x")</f>
        <v>0</v>
      </c>
      <c r="AQ21" s="48" t="str">
        <f aca="false">IF(AP21&gt;0,AVERAGE(AK21:AN21),"")</f>
        <v/>
      </c>
      <c r="AR21" s="48" t="str">
        <f aca="false">IF(AND(AP21&gt;0,U21=1),AQ21*R21,"")</f>
        <v/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42</v>
      </c>
      <c r="D22" s="34"/>
      <c r="E22" s="71"/>
      <c r="F22" s="34"/>
      <c r="G22" s="84"/>
      <c r="H22" s="84"/>
      <c r="I22" s="85"/>
      <c r="J22" s="84"/>
      <c r="K22" s="43"/>
      <c r="L22" s="43"/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str">
        <f aca="false">IF(U22=1,AR22,"")</f>
        <v/>
      </c>
      <c r="Z22" s="50"/>
      <c r="AA22" s="150"/>
      <c r="AB22" s="50"/>
      <c r="AC22" s="150" t="e">
        <f aca="false">IF(Y22&lt;&gt;ByStudent!Y22,Y22-ByStudent!Y22,0)</f>
        <v>#VALUE!</v>
      </c>
      <c r="AD22" s="50"/>
      <c r="AE22" s="206"/>
      <c r="AF22" s="0" t="e">
        <f aca="false">IF(AND(AC22&lt;0,AE22=""),"TODO !","")</f>
        <v>#VALUE!</v>
      </c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str">
        <f aca="false">IF(J22="x",AN$4,"")</f>
        <v/>
      </c>
      <c r="AO22" s="2"/>
      <c r="AP22" s="48" t="n">
        <f aca="false">COUNTIF(G22:J22,"=x")</f>
        <v>0</v>
      </c>
      <c r="AQ22" s="48" t="str">
        <f aca="false">IF(AP22&gt;0,AVERAGE(AK22:AN22),"")</f>
        <v/>
      </c>
      <c r="AR22" s="48" t="str">
        <f aca="false">IF(AND(AP22&gt;0,U22=1),AQ22*R22,"")</f>
        <v/>
      </c>
      <c r="AS22" s="2"/>
      <c r="AT22" s="48" t="n">
        <f aca="false">AI22*3</f>
        <v>21</v>
      </c>
      <c r="AV22" s="54"/>
      <c r="AW22" s="54"/>
    </row>
    <row r="23" customFormat="false" ht="13.2" hidden="false" customHeight="false" outlineLevel="1" collapsed="false">
      <c r="B23" s="70"/>
      <c r="C23" s="82" t="s">
        <v>43</v>
      </c>
      <c r="D23" s="34"/>
      <c r="E23" s="71"/>
      <c r="F23" s="34"/>
      <c r="G23" s="41"/>
      <c r="H23" s="41"/>
      <c r="I23" s="42"/>
      <c r="J23" s="41"/>
      <c r="K23" s="43"/>
      <c r="L23" s="43"/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str">
        <f aca="false">IF(U23=1,AR23,"")</f>
        <v/>
      </c>
      <c r="Z23" s="50"/>
      <c r="AA23" s="150"/>
      <c r="AB23" s="50"/>
      <c r="AC23" s="150" t="e">
        <f aca="false">IF(Y23&lt;&gt;ByStudent!Y23,Y23-ByStudent!Y23,0)</f>
        <v>#VALUE!</v>
      </c>
      <c r="AD23" s="50"/>
      <c r="AE23" s="74"/>
      <c r="AF23" s="0" t="e">
        <f aca="false">IF(AND(AC23&lt;0,AE23=""),"TODO !","")</f>
        <v>#VALUE!</v>
      </c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str">
        <f aca="false">IF(J23="x",AN$4,"")</f>
        <v/>
      </c>
      <c r="AO23" s="2"/>
      <c r="AP23" s="48" t="n">
        <f aca="false">COUNTIF(G23:J23,"=x")</f>
        <v>0</v>
      </c>
      <c r="AQ23" s="48" t="str">
        <f aca="false">IF(AP23&gt;0,AVERAGE(AK23:AN23),"")</f>
        <v/>
      </c>
      <c r="AR23" s="48" t="str">
        <f aca="false">IF(AND(AP23&gt;0,U23=1),AQ23*R23,"")</f>
        <v/>
      </c>
      <c r="AS23" s="2"/>
      <c r="AT23" s="48" t="n">
        <f aca="false">AI23*3</f>
        <v>6</v>
      </c>
      <c r="AV23" s="54"/>
      <c r="AW23" s="54"/>
    </row>
    <row r="24" customFormat="false" ht="13.2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F24" s="0" t="str">
        <f aca="false">IF(AND(AC24&lt;0,AE24=""),"TODO !","")</f>
        <v/>
      </c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F25" s="0" t="str">
        <f aca="false">IF(AND(AC25&lt;0,AE25=""),"TODO !","")</f>
        <v/>
      </c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39</v>
      </c>
      <c r="D26" s="34"/>
      <c r="E26" s="76" t="s">
        <v>26</v>
      </c>
      <c r="F26" s="34"/>
      <c r="G26" s="41"/>
      <c r="H26" s="41"/>
      <c r="I26" s="41"/>
      <c r="J26" s="59"/>
      <c r="K26" s="43"/>
      <c r="L26" s="4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str">
        <f aca="false">IF(U26=1,AR26,"")</f>
        <v/>
      </c>
      <c r="Z26" s="50"/>
      <c r="AA26" s="150"/>
      <c r="AB26" s="50"/>
      <c r="AC26" s="150" t="e">
        <f aca="false">IF(Y26&lt;&gt;ByStudent!Y26,Y26-ByStudent!Y26,0)</f>
        <v>#VALUE!</v>
      </c>
      <c r="AD26" s="50"/>
      <c r="AE26" s="74"/>
      <c r="AF26" s="0" t="e">
        <f aca="false">IF(AND(AC26&lt;0,AE26=""),"TODO !","")</f>
        <v>#VALUE!</v>
      </c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str">
        <f aca="false">IF(J26="x",AN$4,"")</f>
        <v/>
      </c>
      <c r="AO26" s="2"/>
      <c r="AP26" s="48" t="n">
        <f aca="false">COUNTIF(G26:J26,"=x")</f>
        <v>0</v>
      </c>
      <c r="AQ26" s="48" t="str">
        <f aca="false">IF(AP26&gt;0,AVERAGE(AK26:AN26),"")</f>
        <v/>
      </c>
      <c r="AR26" s="48" t="str">
        <f aca="false">IF(AND(AP26&gt;0,U26=1),AQ26*R26,"")</f>
        <v/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41</v>
      </c>
      <c r="D27" s="34"/>
      <c r="E27" s="76"/>
      <c r="F27" s="34"/>
      <c r="G27" s="41"/>
      <c r="H27" s="41"/>
      <c r="I27" s="41"/>
      <c r="J27" s="59"/>
      <c r="K27" s="43"/>
      <c r="L27" s="4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str">
        <f aca="false">IF(U27=1,AR27,"")</f>
        <v/>
      </c>
      <c r="Z27" s="50"/>
      <c r="AA27" s="150"/>
      <c r="AB27" s="50"/>
      <c r="AC27" s="150" t="e">
        <f aca="false">IF(Y27&lt;&gt;ByStudent!Y27,Y27-ByStudent!Y27,0)</f>
        <v>#VALUE!</v>
      </c>
      <c r="AD27" s="50"/>
      <c r="AE27" s="74"/>
      <c r="AF27" s="0" t="e">
        <f aca="false">IF(AND(AC27&lt;0,AE27=""),"TODO !","")</f>
        <v>#VALUE!</v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str">
        <f aca="false">IF(J27="x",AN$4,"")</f>
        <v/>
      </c>
      <c r="AO27" s="2"/>
      <c r="AP27" s="48" t="n">
        <f aca="false">COUNTIF(G27:J27,"=x")</f>
        <v>0</v>
      </c>
      <c r="AQ27" s="48" t="str">
        <f aca="false">IF(AP27&gt;0,AVERAGE(AK27:AN27),"")</f>
        <v/>
      </c>
      <c r="AR27" s="48" t="str">
        <f aca="false">IF(AND(AP27&gt;0,U27=1),AQ27*R27,"")</f>
        <v/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42</v>
      </c>
      <c r="D28" s="34"/>
      <c r="E28" s="76"/>
      <c r="F28" s="34"/>
      <c r="G28" s="41"/>
      <c r="H28" s="41"/>
      <c r="I28" s="41"/>
      <c r="J28" s="59"/>
      <c r="K28" s="43"/>
      <c r="L28" s="4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str">
        <f aca="false">IF(U28=1,AR28,"")</f>
        <v/>
      </c>
      <c r="Z28" s="50"/>
      <c r="AA28" s="150"/>
      <c r="AB28" s="50"/>
      <c r="AC28" s="150" t="e">
        <f aca="false">IF(Y28&lt;&gt;ByStudent!Y28,Y28-ByStudent!Y28,0)</f>
        <v>#VALUE!</v>
      </c>
      <c r="AD28" s="50"/>
      <c r="AE28" s="74"/>
      <c r="AF28" s="0" t="e">
        <f aca="false">IF(AND(AC28&lt;0,AE28=""),"TODO !","")</f>
        <v>#VALUE!</v>
      </c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str">
        <f aca="false">IF(J28="x",AN$4,"")</f>
        <v/>
      </c>
      <c r="AO28" s="2"/>
      <c r="AP28" s="48" t="n">
        <f aca="false">COUNTIF(G28:J28,"=x")</f>
        <v>0</v>
      </c>
      <c r="AQ28" s="48" t="str">
        <f aca="false">IF(AP28&gt;0,AVERAGE(AK28:AN28),"")</f>
        <v/>
      </c>
      <c r="AR28" s="48" t="str">
        <f aca="false">IF(AND(AP28&gt;0,U28=1),AQ28*R28,"")</f>
        <v/>
      </c>
      <c r="AS28" s="2"/>
      <c r="AT28" s="48" t="n">
        <f aca="false">AI28*3</f>
        <v>3</v>
      </c>
      <c r="AV28" s="54"/>
      <c r="AW28" s="54"/>
    </row>
    <row r="29" customFormat="false" ht="13.2" hidden="false" customHeight="false" outlineLevel="1" collapsed="false">
      <c r="B29" s="70"/>
      <c r="C29" s="55" t="s">
        <v>43</v>
      </c>
      <c r="D29" s="56"/>
      <c r="E29" s="76"/>
      <c r="F29" s="34"/>
      <c r="G29" s="41"/>
      <c r="H29" s="41"/>
      <c r="I29" s="41"/>
      <c r="J29" s="59"/>
      <c r="K29" s="43"/>
      <c r="L29" s="4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str">
        <f aca="false">IF(U29=1,AR29,"")</f>
        <v/>
      </c>
      <c r="Z29" s="50"/>
      <c r="AA29" s="150"/>
      <c r="AB29" s="50"/>
      <c r="AC29" s="150" t="e">
        <f aca="false">IF(Y29&lt;&gt;ByStudent!Y29,Y29-ByStudent!Y29,0)</f>
        <v>#VALUE!</v>
      </c>
      <c r="AD29" s="50"/>
      <c r="AE29" s="74"/>
      <c r="AF29" s="0" t="e">
        <f aca="false">IF(AND(AC29&lt;0,AE29=""),"TODO !","")</f>
        <v>#VALUE!</v>
      </c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str">
        <f aca="false">IF(J29="x",AN$4,"")</f>
        <v/>
      </c>
      <c r="AO29" s="2"/>
      <c r="AP29" s="48" t="n">
        <f aca="false">COUNTIF(G29:J29,"=x")</f>
        <v>0</v>
      </c>
      <c r="AQ29" s="48" t="str">
        <f aca="false">IF(AP29&gt;0,AVERAGE(AK29:AN29),"")</f>
        <v/>
      </c>
      <c r="AR29" s="48" t="str">
        <f aca="false">IF(AND(AP29&gt;0,U29=1),AQ29*R29,"")</f>
        <v/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0" collapsed="false">
      <c r="G30" s="78"/>
      <c r="H30" s="78"/>
      <c r="I30" s="78"/>
      <c r="J30" s="78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50"/>
      <c r="AD30" s="80"/>
      <c r="AE30" s="73"/>
      <c r="AF30" s="0" t="str">
        <f aca="false">IF(AND(AC30&lt;0,AE30=""),"TODO !","")</f>
        <v/>
      </c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50"/>
      <c r="AD31" s="80"/>
      <c r="AE31" s="73"/>
      <c r="AF31" s="0" t="str">
        <f aca="false">IF(AND(AC31&lt;0,AE31=""),"TODO !","")</f>
        <v/>
      </c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46</v>
      </c>
      <c r="C32" s="38" t="s">
        <v>47</v>
      </c>
      <c r="D32" s="39" t="s">
        <v>48</v>
      </c>
      <c r="E32" s="92" t="s">
        <v>49</v>
      </c>
      <c r="F32" s="34"/>
      <c r="G32" s="41"/>
      <c r="H32" s="41"/>
      <c r="I32" s="42"/>
      <c r="J32" s="41"/>
      <c r="K32" s="43"/>
      <c r="L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str">
        <f aca="false">IF(U32=1,AR32,"")</f>
        <v/>
      </c>
      <c r="Z32" s="50"/>
      <c r="AA32" s="150"/>
      <c r="AB32" s="50"/>
      <c r="AC32" s="150" t="e">
        <f aca="false">IF(Y32&lt;&gt;ByStudent!Y32,Y32-ByStudent!Y32,0)</f>
        <v>#VALUE!</v>
      </c>
      <c r="AD32" s="50"/>
      <c r="AE32" s="74"/>
      <c r="AF32" s="0" t="e">
        <f aca="false">IF(AND(AC32&lt;0,AE32=""),"TODO !","")</f>
        <v>#VALUE!</v>
      </c>
      <c r="AG32" s="53" t="s">
        <v>50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str">
        <f aca="false">IF(J32="x",AN$4,"")</f>
        <v/>
      </c>
      <c r="AO32" s="2"/>
      <c r="AP32" s="48" t="n">
        <f aca="false">COUNTIF(G32:J32,"=x")</f>
        <v>0</v>
      </c>
      <c r="AQ32" s="48" t="str">
        <f aca="false">IF(AP32&gt;0,AVERAGE(AK32:AN32),"")</f>
        <v/>
      </c>
      <c r="AR32" s="48" t="str">
        <f aca="false">IF(AND(AP32&gt;0,U32=1),AQ32*R32,"")</f>
        <v/>
      </c>
      <c r="AS32" s="2"/>
      <c r="AT32" s="48" t="n">
        <f aca="false">AI32*3</f>
        <v>3</v>
      </c>
      <c r="AV32" s="54" t="n">
        <f aca="false">SUM(AR32:AR44)</f>
        <v>0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48</v>
      </c>
      <c r="E33" s="93" t="s">
        <v>51</v>
      </c>
      <c r="F33" s="34"/>
      <c r="G33" s="41"/>
      <c r="H33" s="41"/>
      <c r="I33" s="42"/>
      <c r="J33" s="41"/>
      <c r="K33" s="43"/>
      <c r="L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str">
        <f aca="false">IF(U33=1,AR33,"")</f>
        <v/>
      </c>
      <c r="Z33" s="50"/>
      <c r="AA33" s="150"/>
      <c r="AB33" s="50"/>
      <c r="AC33" s="150" t="e">
        <f aca="false">IF(Y33&lt;&gt;ByStudent!Y33,Y33-ByStudent!Y33,0)</f>
        <v>#VALUE!</v>
      </c>
      <c r="AD33" s="50"/>
      <c r="AE33" s="74"/>
      <c r="AF33" s="0" t="e">
        <f aca="false">IF(AND(AC33&lt;0,AE33=""),"TODO !","")</f>
        <v>#VALUE!</v>
      </c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str">
        <f aca="false">IF(J33="x",AN$4,"")</f>
        <v/>
      </c>
      <c r="AO33" s="2"/>
      <c r="AP33" s="48" t="n">
        <f aca="false">COUNTIF(G33:J33,"=x")</f>
        <v>0</v>
      </c>
      <c r="AQ33" s="48" t="str">
        <f aca="false">IF(AP33&gt;0,AVERAGE(AK33:AN33),"")</f>
        <v/>
      </c>
      <c r="AR33" s="48" t="str">
        <f aca="false">IF(AND(AP33&gt;0,U33=1),AQ33*R33,"")</f>
        <v/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F34" s="0" t="str">
        <f aca="false">IF(AND(AC34&lt;0,AE34=""),"TODO !","")</f>
        <v/>
      </c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47</v>
      </c>
      <c r="D35" s="34" t="s">
        <v>48</v>
      </c>
      <c r="E35" s="94" t="s">
        <v>52</v>
      </c>
      <c r="F35" s="34"/>
      <c r="G35" s="41"/>
      <c r="H35" s="41"/>
      <c r="I35" s="41"/>
      <c r="J35" s="59"/>
      <c r="K35" s="43"/>
      <c r="L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str">
        <f aca="false">IF(U35=1,AR35,"")</f>
        <v/>
      </c>
      <c r="Z35" s="50"/>
      <c r="AA35" s="150"/>
      <c r="AB35" s="50"/>
      <c r="AC35" s="150" t="e">
        <f aca="false">IF(Y35&lt;&gt;ByStudent!Y35,Y35-ByStudent!Y35,0)</f>
        <v>#VALUE!</v>
      </c>
      <c r="AD35" s="50"/>
      <c r="AE35" s="74"/>
      <c r="AF35" s="0" t="e">
        <f aca="false">IF(AND(AC35&lt;0,AE35=""),"TODO !","")</f>
        <v>#VALUE!</v>
      </c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str">
        <f aca="false">IF(J35="x",AN$4,"")</f>
        <v/>
      </c>
      <c r="AO35" s="2"/>
      <c r="AP35" s="48" t="n">
        <f aca="false">COUNTIF(G35:J35,"=x")</f>
        <v>0</v>
      </c>
      <c r="AQ35" s="48" t="str">
        <f aca="false">IF(AP35&gt;0,AVERAGE(AK35:AN35),"")</f>
        <v/>
      </c>
      <c r="AR35" s="48" t="str">
        <f aca="false">IF(AND(AP35&gt;0,U35=1),AQ35*R35,"")</f>
        <v/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48</v>
      </c>
      <c r="E36" s="94" t="s">
        <v>53</v>
      </c>
      <c r="F36" s="34"/>
      <c r="G36" s="41"/>
      <c r="H36" s="41"/>
      <c r="I36" s="41"/>
      <c r="J36" s="59"/>
      <c r="K36" s="43"/>
      <c r="L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str">
        <f aca="false">IF(U36=1,AR36,"")</f>
        <v/>
      </c>
      <c r="Z36" s="50"/>
      <c r="AA36" s="150"/>
      <c r="AB36" s="50"/>
      <c r="AC36" s="150" t="e">
        <f aca="false">IF(Y36&lt;&gt;ByStudent!Y36,Y36-ByStudent!Y36,0)</f>
        <v>#VALUE!</v>
      </c>
      <c r="AD36" s="50"/>
      <c r="AE36" s="74"/>
      <c r="AF36" s="0" t="e">
        <f aca="false">IF(AND(AC36&lt;0,AE36=""),"TODO !","")</f>
        <v>#VALUE!</v>
      </c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str">
        <f aca="false">IF(J36="x",AN$4,"")</f>
        <v/>
      </c>
      <c r="AO36" s="2"/>
      <c r="AP36" s="48" t="n">
        <f aca="false">COUNTIF(G36:J36,"=x")</f>
        <v>0</v>
      </c>
      <c r="AQ36" s="48" t="str">
        <f aca="false">IF(AP36&gt;0,AVERAGE(AK36:AN36),"")</f>
        <v/>
      </c>
      <c r="AR36" s="48" t="str">
        <f aca="false">IF(AND(AP36&gt;0,U36=1),AQ36*R36,"")</f>
        <v/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F37" s="0" t="str">
        <f aca="false">IF(AND(AC37&lt;0,AE37=""),"TODO !","")</f>
        <v/>
      </c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54</v>
      </c>
      <c r="D38" s="34" t="s">
        <v>48</v>
      </c>
      <c r="E38" s="93" t="s">
        <v>49</v>
      </c>
      <c r="F38" s="50"/>
      <c r="G38" s="41"/>
      <c r="H38" s="41"/>
      <c r="I38" s="42"/>
      <c r="J38" s="41"/>
      <c r="K38" s="43"/>
      <c r="L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str">
        <f aca="false">IF(U38=1,AR38,"")</f>
        <v/>
      </c>
      <c r="Z38" s="50"/>
      <c r="AA38" s="150"/>
      <c r="AB38" s="50"/>
      <c r="AC38" s="150" t="e">
        <f aca="false">IF(Y38&lt;&gt;ByStudent!Y38,Y38-ByStudent!Y38,0)</f>
        <v>#VALUE!</v>
      </c>
      <c r="AD38" s="50"/>
      <c r="AE38" s="74"/>
      <c r="AF38" s="0" t="e">
        <f aca="false">IF(AND(AC38&lt;0,AE38=""),"TODO !","")</f>
        <v>#VALUE!</v>
      </c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str">
        <f aca="false">IF(J38="x",AN$4,"")</f>
        <v/>
      </c>
      <c r="AO38" s="2"/>
      <c r="AP38" s="48" t="n">
        <f aca="false">COUNTIF(G38:J38,"=x")</f>
        <v>0</v>
      </c>
      <c r="AQ38" s="48" t="str">
        <f aca="false">IF(AP38&gt;0,AVERAGE(AK38:AN38),"")</f>
        <v/>
      </c>
      <c r="AR38" s="48" t="str">
        <f aca="false">IF(AND(AP38&gt;0,U38=1),AQ38*R38,"")</f>
        <v/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48</v>
      </c>
      <c r="E39" s="93" t="s">
        <v>51</v>
      </c>
      <c r="F39" s="50"/>
      <c r="G39" s="41"/>
      <c r="H39" s="41"/>
      <c r="I39" s="42"/>
      <c r="J39" s="41"/>
      <c r="K39" s="43"/>
      <c r="L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str">
        <f aca="false">IF(U39=1,AR39,"")</f>
        <v/>
      </c>
      <c r="Z39" s="50"/>
      <c r="AA39" s="150"/>
      <c r="AB39" s="50"/>
      <c r="AC39" s="150" t="e">
        <f aca="false">IF(Y39&lt;&gt;ByStudent!Y39,Y39-ByStudent!Y39,0)</f>
        <v>#VALUE!</v>
      </c>
      <c r="AD39" s="50"/>
      <c r="AE39" s="74"/>
      <c r="AF39" s="0" t="e">
        <f aca="false">IF(AND(AC39&lt;0,AE39=""),"TODO !","")</f>
        <v>#VALUE!</v>
      </c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str">
        <f aca="false">IF(J39="x",AN$4,"")</f>
        <v/>
      </c>
      <c r="AO39" s="2"/>
      <c r="AP39" s="48" t="n">
        <f aca="false">COUNTIF(G39:J39,"=x")</f>
        <v>0</v>
      </c>
      <c r="AQ39" s="48" t="str">
        <f aca="false">IF(AP39&gt;0,AVERAGE(AK39:AN39),"")</f>
        <v/>
      </c>
      <c r="AR39" s="48" t="str">
        <f aca="false">IF(AND(AP39&gt;0,U39=1),AQ39*R39,"")</f>
        <v/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55</v>
      </c>
      <c r="E40" s="93" t="s">
        <v>51</v>
      </c>
      <c r="F40" s="50"/>
      <c r="G40" s="41"/>
      <c r="H40" s="41"/>
      <c r="I40" s="42"/>
      <c r="J40" s="41"/>
      <c r="K40" s="43"/>
      <c r="L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str">
        <f aca="false">IF(U40=1,AR40,"")</f>
        <v/>
      </c>
      <c r="Z40" s="50"/>
      <c r="AA40" s="150"/>
      <c r="AB40" s="50"/>
      <c r="AC40" s="150" t="e">
        <f aca="false">IF(Y40&lt;&gt;ByStudent!Y40,Y40-ByStudent!Y40,0)</f>
        <v>#VALUE!</v>
      </c>
      <c r="AD40" s="50"/>
      <c r="AE40" s="74"/>
      <c r="AF40" s="0" t="e">
        <f aca="false">IF(AND(AC40&lt;0,AE40=""),"TODO !","")</f>
        <v>#VALUE!</v>
      </c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str">
        <f aca="false">IF(J40="x",AN$4,"")</f>
        <v/>
      </c>
      <c r="AO40" s="2"/>
      <c r="AP40" s="48" t="n">
        <f aca="false">COUNTIF(G40:J40,"=x")</f>
        <v>0</v>
      </c>
      <c r="AQ40" s="48" t="str">
        <f aca="false">IF(AP40&gt;0,AVERAGE(AK40:AN40),"")</f>
        <v/>
      </c>
      <c r="AR40" s="48" t="str">
        <f aca="false">IF(AND(AP40&gt;0,U40=1),AQ40*R40,"")</f>
        <v/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F41" s="0" t="str">
        <f aca="false">IF(AND(AC41&lt;0,AE41=""),"TODO !","")</f>
        <v/>
      </c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54</v>
      </c>
      <c r="D42" s="34" t="s">
        <v>48</v>
      </c>
      <c r="E42" s="94" t="s">
        <v>52</v>
      </c>
      <c r="F42" s="34"/>
      <c r="G42" s="41"/>
      <c r="H42" s="41"/>
      <c r="I42" s="41"/>
      <c r="J42" s="59"/>
      <c r="K42" s="43"/>
      <c r="L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str">
        <f aca="false">IF(U42=1,AR42,"")</f>
        <v/>
      </c>
      <c r="Z42" s="50"/>
      <c r="AA42" s="150"/>
      <c r="AB42" s="50"/>
      <c r="AC42" s="150" t="e">
        <f aca="false">IF(Y42&lt;&gt;ByStudent!Y42,Y42-ByStudent!Y42,0)</f>
        <v>#VALUE!</v>
      </c>
      <c r="AD42" s="50"/>
      <c r="AE42" s="74"/>
      <c r="AF42" s="0" t="e">
        <f aca="false">IF(AND(AC42&lt;0,AE42=""),"TODO !","")</f>
        <v>#VALUE!</v>
      </c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str">
        <f aca="false">IF(J42="x",AN$4,"")</f>
        <v/>
      </c>
      <c r="AO42" s="2"/>
      <c r="AP42" s="48" t="n">
        <f aca="false">COUNTIF(G42:J42,"=x")</f>
        <v>0</v>
      </c>
      <c r="AQ42" s="48" t="str">
        <f aca="false">IF(AP42&gt;0,AVERAGE(AK42:AN42),"")</f>
        <v/>
      </c>
      <c r="AR42" s="48" t="str">
        <f aca="false">IF(AND(AP42&gt;0,U42=1),AQ42*R42,"")</f>
        <v/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48</v>
      </c>
      <c r="E43" s="94" t="s">
        <v>53</v>
      </c>
      <c r="F43" s="34"/>
      <c r="G43" s="41"/>
      <c r="H43" s="41"/>
      <c r="I43" s="41"/>
      <c r="J43" s="59"/>
      <c r="K43" s="43"/>
      <c r="L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str">
        <f aca="false">IF(U43=1,AR43,"")</f>
        <v/>
      </c>
      <c r="Z43" s="50"/>
      <c r="AA43" s="150"/>
      <c r="AB43" s="50"/>
      <c r="AC43" s="150" t="e">
        <f aca="false">IF(Y43&lt;&gt;ByStudent!Y43,Y43-ByStudent!Y43,0)</f>
        <v>#VALUE!</v>
      </c>
      <c r="AD43" s="50"/>
      <c r="AE43" s="74"/>
      <c r="AF43" s="0" t="e">
        <f aca="false">IF(AND(AC43&lt;0,AE43=""),"TODO !","")</f>
        <v>#VALUE!</v>
      </c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str">
        <f aca="false">IF(J43="x",AN$4,"")</f>
        <v/>
      </c>
      <c r="AO43" s="2"/>
      <c r="AP43" s="48" t="n">
        <f aca="false">COUNTIF(G43:J43,"=x")</f>
        <v>0</v>
      </c>
      <c r="AQ43" s="48" t="str">
        <f aca="false">IF(AP43&gt;0,AVERAGE(AK43:AN43),"")</f>
        <v/>
      </c>
      <c r="AR43" s="48" t="str">
        <f aca="false">IF(AND(AP43&gt;0,U43=1),AQ43*R43,"")</f>
        <v/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55</v>
      </c>
      <c r="E44" s="97" t="s">
        <v>53</v>
      </c>
      <c r="F44" s="34"/>
      <c r="G44" s="41"/>
      <c r="H44" s="41"/>
      <c r="I44" s="41"/>
      <c r="J44" s="59"/>
      <c r="K44" s="43"/>
      <c r="L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str">
        <f aca="false">IF(U44=1,AR44,"")</f>
        <v/>
      </c>
      <c r="Z44" s="50"/>
      <c r="AA44" s="150"/>
      <c r="AB44" s="50"/>
      <c r="AC44" s="150" t="e">
        <f aca="false">IF(Y44&lt;&gt;ByStudent!Y44,Y44-ByStudent!Y44,0)</f>
        <v>#VALUE!</v>
      </c>
      <c r="AD44" s="50"/>
      <c r="AE44" s="74"/>
      <c r="AF44" s="0" t="e">
        <f aca="false">IF(AND(AC44&lt;0,AE44=""),"TODO !","")</f>
        <v>#VALUE!</v>
      </c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str">
        <f aca="false">IF(J44="x",AN$4,"")</f>
        <v/>
      </c>
      <c r="AO44" s="2"/>
      <c r="AP44" s="48" t="n">
        <f aca="false">COUNTIF(G44:J44,"=x")</f>
        <v>0</v>
      </c>
      <c r="AQ44" s="48" t="str">
        <f aca="false">IF(AP44&gt;0,AVERAGE(AK44:AN44),"")</f>
        <v/>
      </c>
      <c r="AR44" s="48" t="str">
        <f aca="false">IF(AND(AP44&gt;0,U44=1),AQ44*R44,"")</f>
        <v/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50"/>
      <c r="AD45" s="80"/>
      <c r="AE45" s="73"/>
      <c r="AF45" s="0" t="str">
        <f aca="false">IF(AND(AC45&lt;0,AE45=""),"TODO !","")</f>
        <v/>
      </c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50"/>
      <c r="AD46" s="80"/>
      <c r="AE46" s="73"/>
      <c r="AF46" s="0" t="str">
        <f aca="false">IF(AND(AC46&lt;0,AE46=""),"TODO !","")</f>
        <v/>
      </c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56</v>
      </c>
      <c r="C47" s="38" t="s">
        <v>57</v>
      </c>
      <c r="D47" s="39"/>
      <c r="E47" s="92" t="s">
        <v>58</v>
      </c>
      <c r="F47" s="34"/>
      <c r="G47" s="41"/>
      <c r="H47" s="41"/>
      <c r="I47" s="42"/>
      <c r="J47" s="41"/>
      <c r="K47" s="43"/>
      <c r="L47" s="43"/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str">
        <f aca="false">IF(U47=1,AR47,"")</f>
        <v/>
      </c>
      <c r="Z47" s="50"/>
      <c r="AA47" s="150"/>
      <c r="AB47" s="50"/>
      <c r="AC47" s="150" t="e">
        <f aca="false">IF(Y47&lt;&gt;ByStudent!Y47,Y47-ByStudent!Y47,0)</f>
        <v>#VALUE!</v>
      </c>
      <c r="AD47" s="50"/>
      <c r="AE47" s="74"/>
      <c r="AF47" s="0" t="e">
        <f aca="false">IF(AND(AC47&lt;0,AE47=""),"TODO !","")</f>
        <v>#VALUE!</v>
      </c>
      <c r="AG47" s="53" t="s">
        <v>59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str">
        <f aca="false">IF(J47="x",AN$4,"")</f>
        <v/>
      </c>
      <c r="AO47" s="2"/>
      <c r="AP47" s="48" t="n">
        <f aca="false">COUNTIF(G47:J47,"=x")</f>
        <v>0</v>
      </c>
      <c r="AQ47" s="48" t="str">
        <f aca="false">IF(AP47&gt;0,AVERAGE(AK47:AN47),"")</f>
        <v/>
      </c>
      <c r="AR47" s="48" t="str">
        <f aca="false">IF(AND(AP47&gt;0,U47=1),AQ47*R47,"")</f>
        <v/>
      </c>
      <c r="AS47" s="2"/>
      <c r="AT47" s="48" t="n">
        <f aca="false">AI47*3</f>
        <v>12</v>
      </c>
      <c r="AV47" s="54" t="n">
        <f aca="false">SUM(AR47:AR53)</f>
        <v>0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60</v>
      </c>
      <c r="D48" s="34"/>
      <c r="E48" s="93" t="s">
        <v>58</v>
      </c>
      <c r="F48" s="34"/>
      <c r="G48" s="41"/>
      <c r="H48" s="41"/>
      <c r="I48" s="42"/>
      <c r="J48" s="41"/>
      <c r="K48" s="43"/>
      <c r="L48" s="43"/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str">
        <f aca="false">IF(U48=1,AR48,"")</f>
        <v/>
      </c>
      <c r="Z48" s="50"/>
      <c r="AA48" s="150"/>
      <c r="AB48" s="50"/>
      <c r="AC48" s="150" t="e">
        <f aca="false">IF(Y48&lt;&gt;ByStudent!Y48,Y48-ByStudent!Y48,0)</f>
        <v>#VALUE!</v>
      </c>
      <c r="AD48" s="50"/>
      <c r="AE48" s="74"/>
      <c r="AF48" s="0" t="e">
        <f aca="false">IF(AND(AC48&lt;0,AE48=""),"TODO !","")</f>
        <v>#VALUE!</v>
      </c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str">
        <f aca="false">IF(J48="x",AN$4,"")</f>
        <v/>
      </c>
      <c r="AO48" s="2"/>
      <c r="AP48" s="48" t="n">
        <f aca="false">COUNTIF(G48:J48,"=x")</f>
        <v>0</v>
      </c>
      <c r="AQ48" s="48" t="str">
        <f aca="false">IF(AP48&gt;0,AVERAGE(AK48:AN48),"")</f>
        <v/>
      </c>
      <c r="AR48" s="48" t="str">
        <f aca="false">IF(AND(AP48&gt;0,U48=1),AQ48*R48,"")</f>
        <v/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61</v>
      </c>
      <c r="D49" s="34"/>
      <c r="E49" s="93" t="s">
        <v>58</v>
      </c>
      <c r="F49" s="34"/>
      <c r="G49" s="41"/>
      <c r="H49" s="41"/>
      <c r="I49" s="42"/>
      <c r="J49" s="41"/>
      <c r="K49" s="43"/>
      <c r="L49" s="43"/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str">
        <f aca="false">IF(U49=1,AR49,"")</f>
        <v/>
      </c>
      <c r="Z49" s="50"/>
      <c r="AA49" s="150"/>
      <c r="AB49" s="50"/>
      <c r="AC49" s="150" t="e">
        <f aca="false">IF(Y49&lt;&gt;ByStudent!Y49,Y49-ByStudent!Y49,0)</f>
        <v>#VALUE!</v>
      </c>
      <c r="AD49" s="50"/>
      <c r="AE49" s="74"/>
      <c r="AF49" s="0" t="e">
        <f aca="false">IF(AND(AC49&lt;0,AE49=""),"TODO !","")</f>
        <v>#VALUE!</v>
      </c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str">
        <f aca="false">IF(J49="x",AN$4,"")</f>
        <v/>
      </c>
      <c r="AO49" s="2"/>
      <c r="AP49" s="48" t="n">
        <f aca="false">COUNTIF(G49:J49,"=x")</f>
        <v>0</v>
      </c>
      <c r="AQ49" s="48" t="str">
        <f aca="false">IF(AP49&gt;0,AVERAGE(AK49:AN49),"")</f>
        <v/>
      </c>
      <c r="AR49" s="48" t="str">
        <f aca="false">IF(AND(AP49&gt;0,U49=1),AQ49*R49,"")</f>
        <v/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F50" s="0" t="str">
        <f aca="false">IF(AND(AC50&lt;0,AE50=""),"TODO !","")</f>
        <v/>
      </c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57</v>
      </c>
      <c r="D51" s="34"/>
      <c r="E51" s="76" t="s">
        <v>37</v>
      </c>
      <c r="F51" s="34"/>
      <c r="G51" s="41"/>
      <c r="H51" s="41"/>
      <c r="I51" s="41"/>
      <c r="J51" s="59"/>
      <c r="K51" s="43"/>
      <c r="L51" s="43"/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str">
        <f aca="false">IF(U51=1,AR51,"")</f>
        <v/>
      </c>
      <c r="Z51" s="50"/>
      <c r="AA51" s="150"/>
      <c r="AB51" s="50"/>
      <c r="AC51" s="150" t="e">
        <f aca="false">IF(Y51&lt;&gt;ByStudent!Y51,Y51-ByStudent!Y51,0)</f>
        <v>#VALUE!</v>
      </c>
      <c r="AD51" s="50"/>
      <c r="AE51" s="74"/>
      <c r="AF51" s="0" t="e">
        <f aca="false">IF(AND(AC51&lt;0,AE51=""),"TODO !","")</f>
        <v>#VALUE!</v>
      </c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str">
        <f aca="false">IF(J51="x",AN$4,"")</f>
        <v/>
      </c>
      <c r="AO51" s="2"/>
      <c r="AP51" s="48" t="n">
        <f aca="false">COUNTIF(G51:J51,"=x")</f>
        <v>0</v>
      </c>
      <c r="AQ51" s="48" t="str">
        <f aca="false">IF(AP51&gt;0,AVERAGE(AK51:AN51),"")</f>
        <v/>
      </c>
      <c r="AR51" s="48" t="str">
        <f aca="false">IF(AND(AP51&gt;0,U51=1),AQ51*R51,"")</f>
        <v/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60</v>
      </c>
      <c r="D52" s="34"/>
      <c r="E52" s="76"/>
      <c r="F52" s="34"/>
      <c r="G52" s="41"/>
      <c r="H52" s="41"/>
      <c r="I52" s="41"/>
      <c r="J52" s="59"/>
      <c r="K52" s="43"/>
      <c r="L52" s="43"/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str">
        <f aca="false">IF(U52=1,AR52,"")</f>
        <v/>
      </c>
      <c r="Z52" s="50"/>
      <c r="AA52" s="150"/>
      <c r="AB52" s="50"/>
      <c r="AC52" s="150" t="e">
        <f aca="false">IF(Y52&lt;&gt;ByStudent!Y52,Y52-ByStudent!Y52,0)</f>
        <v>#VALUE!</v>
      </c>
      <c r="AD52" s="50"/>
      <c r="AE52" s="74"/>
      <c r="AF52" s="0" t="e">
        <f aca="false">IF(AND(AC52&lt;0,AE52=""),"TODO !","")</f>
        <v>#VALUE!</v>
      </c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str">
        <f aca="false">IF(J52="x",AN$4,"")</f>
        <v/>
      </c>
      <c r="AO52" s="2"/>
      <c r="AP52" s="48" t="n">
        <f aca="false">COUNTIF(G52:J52,"=x")</f>
        <v>0</v>
      </c>
      <c r="AQ52" s="48" t="str">
        <f aca="false">IF(AP52&gt;0,AVERAGE(AK52:AN52),"")</f>
        <v/>
      </c>
      <c r="AR52" s="48" t="str">
        <f aca="false">IF(AND(AP52&gt;0,U52=1),AQ52*R52,"")</f>
        <v/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61</v>
      </c>
      <c r="D53" s="56"/>
      <c r="E53" s="76"/>
      <c r="F53" s="34"/>
      <c r="G53" s="41"/>
      <c r="H53" s="41"/>
      <c r="I53" s="41"/>
      <c r="J53" s="59"/>
      <c r="K53" s="43"/>
      <c r="L53" s="43"/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str">
        <f aca="false">IF(U53=1,AR53,"")</f>
        <v/>
      </c>
      <c r="Z53" s="50"/>
      <c r="AA53" s="150"/>
      <c r="AB53" s="50"/>
      <c r="AC53" s="150" t="e">
        <f aca="false">IF(Y53&lt;&gt;ByStudent!Y53,Y53-ByStudent!Y53,0)</f>
        <v>#VALUE!</v>
      </c>
      <c r="AD53" s="50"/>
      <c r="AE53" s="74"/>
      <c r="AF53" s="0" t="e">
        <f aca="false">IF(AND(AC53&lt;0,AE53=""),"TODO !","")</f>
        <v>#VALUE!</v>
      </c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str">
        <f aca="false">IF(J53="x",AN$4,"")</f>
        <v/>
      </c>
      <c r="AO53" s="2"/>
      <c r="AP53" s="48" t="n">
        <f aca="false">COUNTIF(G53:J53,"=x")</f>
        <v>0</v>
      </c>
      <c r="AQ53" s="48" t="str">
        <f aca="false">IF(AP53&gt;0,AVERAGE(AK53:AN53),"")</f>
        <v/>
      </c>
      <c r="AR53" s="48" t="str">
        <f aca="false">IF(AND(AP53&gt;0,U53=1),AQ53*R53,"")</f>
        <v/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F54" s="0" t="str">
        <f aca="false">IF(AND(AC54&lt;0,AE54=""),"TODO !","")</f>
        <v/>
      </c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F55" s="0" t="str">
        <f aca="false">IF(AND(AC55&lt;0,AE55=""),"TODO !","")</f>
        <v/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62</v>
      </c>
      <c r="C56" s="38" t="s">
        <v>63</v>
      </c>
      <c r="D56" s="39"/>
      <c r="E56" s="92" t="s">
        <v>58</v>
      </c>
      <c r="F56" s="34"/>
      <c r="G56" s="41"/>
      <c r="H56" s="41"/>
      <c r="I56" s="207"/>
      <c r="J56" s="41"/>
      <c r="K56" s="43"/>
      <c r="L56" s="43"/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150"/>
      <c r="AB56" s="50"/>
      <c r="AC56" s="150" t="n">
        <f aca="false">IF(Y56&lt;&gt;ByStudent!Y56,Y56-ByStudent!Y56,0)</f>
        <v>0</v>
      </c>
      <c r="AD56" s="50"/>
      <c r="AE56" s="74"/>
      <c r="AF56" s="0" t="str">
        <f aca="false">IF(AND(AC56&lt;0,AE56=""),"TODO !","")</f>
        <v/>
      </c>
      <c r="AG56" s="53" t="s">
        <v>65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63</v>
      </c>
      <c r="D57" s="21" t="s">
        <v>66</v>
      </c>
      <c r="E57" s="93" t="s">
        <v>58</v>
      </c>
      <c r="F57" s="34"/>
      <c r="G57" s="41"/>
      <c r="H57" s="41"/>
      <c r="I57" s="207"/>
      <c r="J57" s="41"/>
      <c r="K57" s="43"/>
      <c r="L57" s="43"/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150"/>
      <c r="AB57" s="50"/>
      <c r="AC57" s="150" t="n">
        <f aca="false">IF(Y57&lt;&gt;ByStudent!Y57,Y57-ByStudent!Y57,0)</f>
        <v>0</v>
      </c>
      <c r="AD57" s="50"/>
      <c r="AE57" s="74"/>
      <c r="AF57" s="0" t="str">
        <f aca="false">IF(AND(AC57&lt;0,AE57=""),"TODO !","")</f>
        <v/>
      </c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63</v>
      </c>
      <c r="D58" s="21" t="s">
        <v>67</v>
      </c>
      <c r="E58" s="93" t="s">
        <v>58</v>
      </c>
      <c r="F58" s="34"/>
      <c r="G58" s="41"/>
      <c r="H58" s="41"/>
      <c r="I58" s="207"/>
      <c r="J58" s="41"/>
      <c r="K58" s="43"/>
      <c r="L58" s="43"/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150"/>
      <c r="AB58" s="50"/>
      <c r="AC58" s="150" t="n">
        <f aca="false">IF(Y58&lt;&gt;ByStudent!Y58,Y58-ByStudent!Y58,0)</f>
        <v>0</v>
      </c>
      <c r="AD58" s="50"/>
      <c r="AE58" s="74"/>
      <c r="AF58" s="0" t="str">
        <f aca="false">IF(AND(AC58&lt;0,AE58=""),"TODO !","")</f>
        <v/>
      </c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F59" s="0" t="str">
        <f aca="false">IF(AND(AC59&lt;0,AE59=""),"TODO !","")</f>
        <v/>
      </c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68</v>
      </c>
      <c r="D60" s="34"/>
      <c r="E60" s="93" t="s">
        <v>58</v>
      </c>
      <c r="F60" s="34"/>
      <c r="G60" s="41"/>
      <c r="H60" s="41"/>
      <c r="I60" s="207"/>
      <c r="J60" s="41"/>
      <c r="K60" s="43"/>
      <c r="L60" s="43"/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150"/>
      <c r="AB60" s="50"/>
      <c r="AC60" s="150" t="n">
        <f aca="false">IF(Y60&lt;&gt;ByStudent!Y60,Y60-ByStudent!Y60,0)</f>
        <v>0</v>
      </c>
      <c r="AD60" s="50"/>
      <c r="AE60" s="74"/>
      <c r="AF60" s="0" t="str">
        <f aca="false">IF(AND(AC60&lt;0,AE60=""),"TODO !","")</f>
        <v/>
      </c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68</v>
      </c>
      <c r="D61" s="21" t="s">
        <v>66</v>
      </c>
      <c r="E61" s="93" t="s">
        <v>58</v>
      </c>
      <c r="F61" s="34"/>
      <c r="G61" s="41"/>
      <c r="H61" s="41"/>
      <c r="I61" s="207"/>
      <c r="J61" s="41"/>
      <c r="K61" s="43"/>
      <c r="L61" s="43"/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150"/>
      <c r="AB61" s="50"/>
      <c r="AC61" s="150" t="n">
        <f aca="false">IF(Y61&lt;&gt;ByStudent!Y61,Y61-ByStudent!Y61,0)</f>
        <v>0</v>
      </c>
      <c r="AD61" s="50"/>
      <c r="AE61" s="74"/>
      <c r="AF61" s="0" t="str">
        <f aca="false">IF(AND(AC61&lt;0,AE61=""),"TODO !","")</f>
        <v/>
      </c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68</v>
      </c>
      <c r="D62" s="21" t="s">
        <v>67</v>
      </c>
      <c r="E62" s="93" t="s">
        <v>58</v>
      </c>
      <c r="F62" s="34"/>
      <c r="G62" s="41"/>
      <c r="H62" s="41"/>
      <c r="I62" s="207"/>
      <c r="J62" s="41"/>
      <c r="K62" s="43"/>
      <c r="L62" s="43"/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150"/>
      <c r="AB62" s="50"/>
      <c r="AC62" s="150" t="n">
        <f aca="false">IF(Y62&lt;&gt;ByStudent!Y62,Y62-ByStudent!Y62,0)</f>
        <v>0</v>
      </c>
      <c r="AD62" s="50"/>
      <c r="AE62" s="74"/>
      <c r="AF62" s="0" t="str">
        <f aca="false">IF(AND(AC62&lt;0,AE62=""),"TODO !","")</f>
        <v/>
      </c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IF(AND(AC63&lt;0,AE63=""),"TODO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63</v>
      </c>
      <c r="D64" s="34"/>
      <c r="E64" s="76" t="s">
        <v>37</v>
      </c>
      <c r="F64" s="34"/>
      <c r="G64" s="41"/>
      <c r="H64" s="41"/>
      <c r="I64" s="41"/>
      <c r="J64" s="59"/>
      <c r="K64" s="43"/>
      <c r="L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150"/>
      <c r="AB64" s="50"/>
      <c r="AC64" s="150" t="n">
        <f aca="false">IF(Y64&lt;&gt;ByStudent!Y64,Y64-ByStudent!Y64,0)</f>
        <v>0</v>
      </c>
      <c r="AD64" s="50"/>
      <c r="AE64" s="74"/>
      <c r="AF64" s="0" t="str">
        <f aca="false">IF(AND(AC64&lt;0,AE64=""),"TODO !","")</f>
        <v/>
      </c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63</v>
      </c>
      <c r="D65" s="21" t="s">
        <v>66</v>
      </c>
      <c r="E65" s="76"/>
      <c r="F65" s="34"/>
      <c r="G65" s="41"/>
      <c r="H65" s="41"/>
      <c r="I65" s="41"/>
      <c r="J65" s="59"/>
      <c r="K65" s="43"/>
      <c r="L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150"/>
      <c r="AB65" s="50"/>
      <c r="AC65" s="150" t="n">
        <f aca="false">IF(Y65&lt;&gt;ByStudent!Y65,Y65-ByStudent!Y65,0)</f>
        <v>0</v>
      </c>
      <c r="AD65" s="50"/>
      <c r="AE65" s="74"/>
      <c r="AF65" s="0" t="str">
        <f aca="false">IF(AND(AC65&lt;0,AE65=""),"TODO !","")</f>
        <v/>
      </c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63</v>
      </c>
      <c r="D66" s="21" t="s">
        <v>67</v>
      </c>
      <c r="E66" s="76"/>
      <c r="F66" s="34"/>
      <c r="G66" s="41"/>
      <c r="H66" s="41"/>
      <c r="I66" s="41"/>
      <c r="J66" s="59"/>
      <c r="K66" s="43"/>
      <c r="L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150"/>
      <c r="AB66" s="50"/>
      <c r="AC66" s="150" t="n">
        <f aca="false">IF(Y66&lt;&gt;ByStudent!Y66,Y66-ByStudent!Y66,0)</f>
        <v>0</v>
      </c>
      <c r="AD66" s="50"/>
      <c r="AE66" s="74"/>
      <c r="AF66" s="0" t="str">
        <f aca="false">IF(AND(AC66&lt;0,AE66=""),"TODO !","")</f>
        <v/>
      </c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F67" s="0" t="str">
        <f aca="false">IF(AND(AC67&lt;0,AE67=""),"TODO !","")</f>
        <v/>
      </c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68</v>
      </c>
      <c r="D68" s="34"/>
      <c r="E68" s="76" t="s">
        <v>37</v>
      </c>
      <c r="F68" s="34"/>
      <c r="G68" s="41"/>
      <c r="H68" s="41"/>
      <c r="I68" s="41"/>
      <c r="J68" s="59"/>
      <c r="K68" s="43"/>
      <c r="L68" s="43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150"/>
      <c r="AB68" s="50"/>
      <c r="AC68" s="150" t="n">
        <f aca="false">IF(Y68&lt;&gt;ByStudent!Y68,Y68-ByStudent!Y68,0)</f>
        <v>0</v>
      </c>
      <c r="AD68" s="50"/>
      <c r="AE68" s="74"/>
      <c r="AF68" s="0" t="str">
        <f aca="false">IF(AND(AC68&lt;0,AE68=""),"TODO !","")</f>
        <v/>
      </c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68</v>
      </c>
      <c r="D69" s="21" t="s">
        <v>66</v>
      </c>
      <c r="E69" s="76"/>
      <c r="F69" s="34"/>
      <c r="G69" s="41"/>
      <c r="H69" s="41"/>
      <c r="I69" s="41"/>
      <c r="J69" s="59"/>
      <c r="K69" s="43"/>
      <c r="L69" s="43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150"/>
      <c r="AB69" s="50"/>
      <c r="AC69" s="150" t="n">
        <f aca="false">IF(Y69&lt;&gt;ByStudent!Y69,Y69-ByStudent!Y69,0)</f>
        <v>0</v>
      </c>
      <c r="AD69" s="50"/>
      <c r="AE69" s="74"/>
      <c r="AF69" s="0" t="str">
        <f aca="false">IF(AND(AC69&lt;0,AE69=""),"TODO !","")</f>
        <v/>
      </c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68</v>
      </c>
      <c r="D70" s="113" t="s">
        <v>67</v>
      </c>
      <c r="E70" s="76"/>
      <c r="F70" s="34"/>
      <c r="G70" s="41"/>
      <c r="H70" s="41"/>
      <c r="I70" s="41"/>
      <c r="J70" s="59"/>
      <c r="K70" s="43"/>
      <c r="L70" s="43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150"/>
      <c r="AB70" s="50"/>
      <c r="AC70" s="150" t="n">
        <f aca="false">IF(Y70&lt;&gt;ByStudent!Y70,Y70-ByStudent!Y70,0)</f>
        <v>0</v>
      </c>
      <c r="AD70" s="50"/>
      <c r="AE70" s="74"/>
      <c r="AF70" s="0" t="str">
        <f aca="false">IF(AND(AC70&lt;0,AE70=""),"TODO !","")</f>
        <v/>
      </c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IF(AND(AC71&lt;0,AE71=""),"TODO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F72" s="0" t="str">
        <f aca="false">IF(AND(AC72&lt;0,AE72=""),"TODO !","")</f>
        <v/>
      </c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69</v>
      </c>
      <c r="C73" s="38" t="s">
        <v>70</v>
      </c>
      <c r="D73" s="39"/>
      <c r="E73" s="92"/>
      <c r="F73" s="34"/>
      <c r="G73" s="41"/>
      <c r="H73" s="41"/>
      <c r="I73" s="42"/>
      <c r="J73" s="41"/>
      <c r="K73" s="43"/>
      <c r="L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150"/>
      <c r="AB73" s="50"/>
      <c r="AC73" s="150" t="n">
        <f aca="false">IF(Y73&lt;&gt;ByStudent!Y73,Y73-ByStudent!Y73,0)</f>
        <v>0</v>
      </c>
      <c r="AD73" s="50"/>
      <c r="AE73" s="74"/>
      <c r="AF73" s="0" t="str">
        <f aca="false">IF(AND(AC73&lt;0,AE73=""),"TODO !","")</f>
        <v/>
      </c>
      <c r="AG73" s="53" t="s">
        <v>71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72</v>
      </c>
      <c r="D74" s="34"/>
      <c r="E74" s="93"/>
      <c r="F74" s="34"/>
      <c r="G74" s="41"/>
      <c r="H74" s="41"/>
      <c r="I74" s="42"/>
      <c r="J74" s="41"/>
      <c r="K74" s="43"/>
      <c r="L74" s="43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150"/>
      <c r="AB74" s="50"/>
      <c r="AC74" s="150" t="n">
        <f aca="false">IF(Y74&lt;&gt;ByStudent!Y74,Y74-ByStudent!Y74,0)</f>
        <v>0</v>
      </c>
      <c r="AD74" s="50"/>
      <c r="AE74" s="74"/>
      <c r="AF74" s="0" t="str">
        <f aca="false">IF(AND(AC74&lt;0,AE74=""),"TODO !","")</f>
        <v/>
      </c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73</v>
      </c>
      <c r="D75" s="34"/>
      <c r="E75" s="115"/>
      <c r="F75" s="34"/>
      <c r="G75" s="41"/>
      <c r="H75" s="41"/>
      <c r="I75" s="42"/>
      <c r="J75" s="41"/>
      <c r="K75" s="43"/>
      <c r="L75" s="43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150"/>
      <c r="AB75" s="50"/>
      <c r="AC75" s="150" t="n">
        <f aca="false">IF(Y75&lt;&gt;ByStudent!Y75,Y75-ByStudent!Y75,0)</f>
        <v>0</v>
      </c>
      <c r="AD75" s="50"/>
      <c r="AE75" s="74"/>
      <c r="AF75" s="0" t="str">
        <f aca="false">IF(AND(AC75&lt;0,AE75=""),"TODO !","")</f>
        <v/>
      </c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74</v>
      </c>
      <c r="D76" s="34"/>
      <c r="E76" s="115"/>
      <c r="F76" s="34"/>
      <c r="G76" s="41"/>
      <c r="H76" s="41"/>
      <c r="I76" s="42"/>
      <c r="J76" s="41"/>
      <c r="K76" s="43"/>
      <c r="L76" s="43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150"/>
      <c r="AB76" s="50"/>
      <c r="AC76" s="150" t="n">
        <f aca="false">IF(Y76&lt;&gt;ByStudent!Y76,Y76-ByStudent!Y76,0)</f>
        <v>0</v>
      </c>
      <c r="AD76" s="50"/>
      <c r="AE76" s="74"/>
      <c r="AF76" s="0" t="str">
        <f aca="false">IF(AND(AC76&lt;0,AE76=""),"TODO !","")</f>
        <v/>
      </c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F77" s="0" t="str">
        <f aca="false">IF(AND(AC77&lt;0,AE77=""),"TODO !","")</f>
        <v/>
      </c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70</v>
      </c>
      <c r="D78" s="34"/>
      <c r="E78" s="118" t="s">
        <v>37</v>
      </c>
      <c r="F78" s="34"/>
      <c r="G78" s="41"/>
      <c r="H78" s="41"/>
      <c r="I78" s="119"/>
      <c r="J78" s="59"/>
      <c r="K78" s="43"/>
      <c r="L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150"/>
      <c r="AB78" s="50"/>
      <c r="AC78" s="150" t="n">
        <f aca="false">IF(Y78&lt;&gt;ByStudent!Y78,Y78-ByStudent!Y78,0)</f>
        <v>0</v>
      </c>
      <c r="AD78" s="50"/>
      <c r="AE78" s="74"/>
      <c r="AF78" s="0" t="str">
        <f aca="false">IF(AND(AC78&lt;0,AE78=""),"TODO !","")</f>
        <v/>
      </c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72</v>
      </c>
      <c r="D79" s="34"/>
      <c r="E79" s="118"/>
      <c r="F79" s="34"/>
      <c r="G79" s="41"/>
      <c r="H79" s="41"/>
      <c r="I79" s="119"/>
      <c r="J79" s="59"/>
      <c r="K79" s="43"/>
      <c r="L79" s="43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150"/>
      <c r="AB79" s="50"/>
      <c r="AC79" s="150" t="n">
        <f aca="false">IF(Y79&lt;&gt;ByStudent!Y79,Y79-ByStudent!Y79,0)</f>
        <v>0</v>
      </c>
      <c r="AD79" s="50"/>
      <c r="AE79" s="74"/>
      <c r="AF79" s="0" t="str">
        <f aca="false">IF(AND(AC79&lt;0,AE79=""),"TODO !","")</f>
        <v/>
      </c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73</v>
      </c>
      <c r="D80" s="34"/>
      <c r="E80" s="118"/>
      <c r="F80" s="34"/>
      <c r="G80" s="41"/>
      <c r="H80" s="41"/>
      <c r="I80" s="119"/>
      <c r="J80" s="59"/>
      <c r="K80" s="43"/>
      <c r="L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150"/>
      <c r="AB80" s="50"/>
      <c r="AC80" s="150" t="n">
        <f aca="false">IF(Y80&lt;&gt;ByStudent!Y80,Y80-ByStudent!Y80,0)</f>
        <v>0</v>
      </c>
      <c r="AD80" s="50"/>
      <c r="AE80" s="74"/>
      <c r="AF80" s="0" t="str">
        <f aca="false">IF(AND(AC80&lt;0,AE80=""),"TODO !","")</f>
        <v/>
      </c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74</v>
      </c>
      <c r="D81" s="56"/>
      <c r="E81" s="118"/>
      <c r="F81" s="34"/>
      <c r="G81" s="41"/>
      <c r="H81" s="41"/>
      <c r="I81" s="119"/>
      <c r="J81" s="59"/>
      <c r="K81" s="43"/>
      <c r="L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150"/>
      <c r="AB81" s="50"/>
      <c r="AC81" s="150" t="n">
        <f aca="false">IF(Y81&lt;&gt;ByStudent!Y81,Y81-ByStudent!Y81,0)</f>
        <v>0</v>
      </c>
      <c r="AD81" s="50"/>
      <c r="AE81" s="74"/>
      <c r="AF81" s="0" t="str">
        <f aca="false">IF(AND(AC81&lt;0,AE81=""),"TODO !","")</f>
        <v/>
      </c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F82" s="0" t="str">
        <f aca="false">IF(AND(AC82&lt;0,AE82=""),"TODO !","")</f>
        <v/>
      </c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F83" s="0" t="str">
        <f aca="false">IF(AND(AC83&lt;0,AE83=""),"TODO !","")</f>
        <v/>
      </c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3.2" hidden="false" customHeight="false" outlineLevel="1" collapsed="false">
      <c r="B84" s="107" t="s">
        <v>75</v>
      </c>
      <c r="C84" s="38" t="s">
        <v>76</v>
      </c>
      <c r="D84" s="39"/>
      <c r="E84" s="92"/>
      <c r="F84" s="34"/>
      <c r="G84" s="41"/>
      <c r="H84" s="41"/>
      <c r="I84" s="42"/>
      <c r="J84" s="41"/>
      <c r="K84" s="43"/>
      <c r="L84" s="43"/>
      <c r="Q84" s="43"/>
      <c r="R84" s="77" t="n">
        <v>1</v>
      </c>
      <c r="S84" s="8" t="n">
        <f aca="false">SUM(R84:R90)</f>
        <v>26</v>
      </c>
      <c r="U84" s="48"/>
      <c r="V84" s="48"/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150"/>
      <c r="AB84" s="50"/>
      <c r="AC84" s="150" t="n">
        <f aca="false">IF(Y84&lt;&gt;ByStudent!Y84,Y84-ByStudent!Y84,0)</f>
        <v>0</v>
      </c>
      <c r="AD84" s="50"/>
      <c r="AE84" s="74"/>
      <c r="AF84" s="0" t="str">
        <f aca="false">IF(AND(AC84&lt;0,AE84=""),"TODO !","")</f>
        <v/>
      </c>
      <c r="AG84" s="53" t="s">
        <v>77</v>
      </c>
      <c r="AH84" s="2"/>
      <c r="AI84" s="48" t="n">
        <f aca="false">U84*V84*R84</f>
        <v>0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str">
        <f aca="false">IF(J84="x",AN$4,"")</f>
        <v/>
      </c>
      <c r="AO84" s="2"/>
      <c r="AP84" s="48" t="n">
        <f aca="false">COUNTIF(G84:J84,"=x")</f>
        <v>0</v>
      </c>
      <c r="AQ84" s="48" t="str">
        <f aca="false">IF(AP84&gt;0,AVERAGE(AK84:AN84),"")</f>
        <v/>
      </c>
      <c r="AR84" s="48" t="str">
        <f aca="false">IF(AND(AP84&gt;0,U84=1),AQ84*R84,"")</f>
        <v/>
      </c>
      <c r="AS84" s="2"/>
      <c r="AT84" s="48" t="n">
        <f aca="false">AI84*3</f>
        <v>0</v>
      </c>
      <c r="AV84" s="54" t="n">
        <f aca="false">SUM(AR84:AR90)</f>
        <v>0</v>
      </c>
      <c r="AW84" s="54" t="n">
        <f aca="false">SUM(AT84:AT90)</f>
        <v>0</v>
      </c>
    </row>
    <row r="85" customFormat="false" ht="13.2" hidden="false" customHeight="false" outlineLevel="1" collapsed="false">
      <c r="B85" s="107"/>
      <c r="C85" s="82" t="s">
        <v>78</v>
      </c>
      <c r="D85" s="34"/>
      <c r="E85" s="93"/>
      <c r="F85" s="34"/>
      <c r="G85" s="41"/>
      <c r="H85" s="41"/>
      <c r="I85" s="42"/>
      <c r="J85" s="41"/>
      <c r="K85" s="43"/>
      <c r="L85" s="43"/>
      <c r="Q85" s="43"/>
      <c r="R85" s="77" t="n">
        <v>6</v>
      </c>
      <c r="S85" s="8"/>
      <c r="U85" s="48"/>
      <c r="V85" s="48"/>
      <c r="W85" s="26" t="str">
        <f aca="false">IF(AND(U85=1,V85=0),"Bonus","")</f>
        <v/>
      </c>
      <c r="X85" s="26"/>
      <c r="Y85" s="49" t="str">
        <f aca="false">IF(U85=1,AR85,"")</f>
        <v/>
      </c>
      <c r="Z85" s="50"/>
      <c r="AA85" s="150"/>
      <c r="AB85" s="50"/>
      <c r="AC85" s="150" t="n">
        <f aca="false">IF(Y85&lt;&gt;ByStudent!Y85,Y85-ByStudent!Y85,0)</f>
        <v>0</v>
      </c>
      <c r="AD85" s="50"/>
      <c r="AE85" s="74"/>
      <c r="AF85" s="0" t="str">
        <f aca="false">IF(AND(AC85&lt;0,AE85=""),"TODO !","")</f>
        <v/>
      </c>
      <c r="AG85" s="53"/>
      <c r="AH85" s="2"/>
      <c r="AI85" s="48" t="n">
        <f aca="false">U85*V85*R85</f>
        <v>0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str">
        <f aca="false">IF(J85="x",AN$4,"")</f>
        <v/>
      </c>
      <c r="AO85" s="2"/>
      <c r="AP85" s="48" t="n">
        <f aca="false">COUNTIF(G85:J85,"=x")</f>
        <v>0</v>
      </c>
      <c r="AQ85" s="48" t="str">
        <f aca="false">IF(AP85&gt;0,AVERAGE(AK85:AN85),"")</f>
        <v/>
      </c>
      <c r="AR85" s="48" t="str">
        <f aca="false">IF(AND(AP85&gt;0,U85=1),AQ85*R85,"")</f>
        <v/>
      </c>
      <c r="AS85" s="2"/>
      <c r="AT85" s="48" t="n">
        <f aca="false">AI85*3</f>
        <v>0</v>
      </c>
      <c r="AV85" s="54"/>
      <c r="AW85" s="54"/>
    </row>
    <row r="86" customFormat="false" ht="13.2" hidden="false" customHeight="false" outlineLevel="1" collapsed="false">
      <c r="B86" s="107"/>
      <c r="C86" s="82" t="s">
        <v>79</v>
      </c>
      <c r="D86" s="34"/>
      <c r="E86" s="93"/>
      <c r="F86" s="34"/>
      <c r="G86" s="41"/>
      <c r="H86" s="41"/>
      <c r="I86" s="42"/>
      <c r="J86" s="41"/>
      <c r="K86" s="43"/>
      <c r="L86" s="43"/>
      <c r="Q86" s="43"/>
      <c r="R86" s="77" t="n">
        <v>9</v>
      </c>
      <c r="S86" s="8"/>
      <c r="U86" s="48"/>
      <c r="V86" s="48"/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150"/>
      <c r="AB86" s="50"/>
      <c r="AC86" s="150" t="n">
        <f aca="false">IF(Y86&lt;&gt;ByStudent!Y86,Y86-ByStudent!Y86,0)</f>
        <v>0</v>
      </c>
      <c r="AD86" s="50"/>
      <c r="AE86" s="74"/>
      <c r="AF86" s="0" t="str">
        <f aca="false">IF(AND(AC86&lt;0,AE86=""),"TODO !","")</f>
        <v/>
      </c>
      <c r="AG86" s="53"/>
      <c r="AH86" s="2"/>
      <c r="AI86" s="48" t="n">
        <f aca="false">U86*V86*R86</f>
        <v>0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0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F87" s="0" t="str">
        <f aca="false">IF(AND(AC87&lt;0,AE87=""),"TODO !","")</f>
        <v/>
      </c>
      <c r="AG87" s="53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76</v>
      </c>
      <c r="D88" s="34"/>
      <c r="E88" s="76" t="s">
        <v>37</v>
      </c>
      <c r="F88" s="34"/>
      <c r="G88" s="41"/>
      <c r="H88" s="41"/>
      <c r="I88" s="41"/>
      <c r="J88" s="59"/>
      <c r="K88" s="43"/>
      <c r="L88" s="43"/>
      <c r="Q88" s="43"/>
      <c r="R88" s="77" t="n">
        <v>1</v>
      </c>
      <c r="S88" s="8"/>
      <c r="U88" s="48"/>
      <c r="V88" s="48"/>
      <c r="W88" s="26" t="str">
        <f aca="false">IF(AND(U88=1,V88=0),"Bonus","")</f>
        <v/>
      </c>
      <c r="X88" s="26"/>
      <c r="Y88" s="49" t="str">
        <f aca="false">IF(U88=1,AR88,"")</f>
        <v/>
      </c>
      <c r="Z88" s="50"/>
      <c r="AA88" s="150"/>
      <c r="AB88" s="50"/>
      <c r="AC88" s="150" t="n">
        <f aca="false">IF(Y88&lt;&gt;ByStudent!Y88,Y88-ByStudent!Y88,0)</f>
        <v>0</v>
      </c>
      <c r="AD88" s="50"/>
      <c r="AE88" s="74"/>
      <c r="AF88" s="0" t="str">
        <f aca="false">IF(AND(AC88&lt;0,AE88=""),"TODO !","")</f>
        <v/>
      </c>
      <c r="AG88" s="53"/>
      <c r="AH88" s="2"/>
      <c r="AI88" s="48" t="n">
        <f aca="false">U88*V88*R88</f>
        <v>0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str">
        <f aca="false">IF(J88="x",AN$4,"")</f>
        <v/>
      </c>
      <c r="AO88" s="2"/>
      <c r="AP88" s="48" t="n">
        <f aca="false">COUNTIF(G88:J88,"=x")</f>
        <v>0</v>
      </c>
      <c r="AQ88" s="48" t="str">
        <f aca="false">IF(AP88&gt;0,AVERAGE(AK88:AN88),"")</f>
        <v/>
      </c>
      <c r="AR88" s="48" t="str">
        <f aca="false">IF(AND(AP88&gt;0,U88=1),AQ88*R88,"")</f>
        <v/>
      </c>
      <c r="AS88" s="2"/>
      <c r="AT88" s="48" t="n">
        <f aca="false">AI88*3</f>
        <v>0</v>
      </c>
      <c r="AV88" s="54"/>
      <c r="AW88" s="54"/>
    </row>
    <row r="89" customFormat="false" ht="13.2" hidden="false" customHeight="false" outlineLevel="1" collapsed="false">
      <c r="B89" s="107"/>
      <c r="C89" s="82" t="s">
        <v>78</v>
      </c>
      <c r="D89" s="34"/>
      <c r="E89" s="76"/>
      <c r="F89" s="34"/>
      <c r="G89" s="41"/>
      <c r="H89" s="41"/>
      <c r="I89" s="41"/>
      <c r="J89" s="59"/>
      <c r="K89" s="43"/>
      <c r="L89" s="43"/>
      <c r="Q89" s="43"/>
      <c r="R89" s="77" t="n">
        <v>4</v>
      </c>
      <c r="S89" s="8"/>
      <c r="U89" s="48"/>
      <c r="V89" s="48"/>
      <c r="W89" s="26" t="str">
        <f aca="false">IF(AND(U89=1,V89=0),"Bonus","")</f>
        <v/>
      </c>
      <c r="X89" s="26"/>
      <c r="Y89" s="49" t="str">
        <f aca="false">IF(U89=1,AR89,"")</f>
        <v/>
      </c>
      <c r="Z89" s="50"/>
      <c r="AA89" s="150"/>
      <c r="AB89" s="50"/>
      <c r="AC89" s="150" t="n">
        <f aca="false">IF(Y89&lt;&gt;ByStudent!Y89,Y89-ByStudent!Y89,0)</f>
        <v>0</v>
      </c>
      <c r="AD89" s="50"/>
      <c r="AE89" s="74"/>
      <c r="AF89" s="0" t="str">
        <f aca="false">IF(AND(AC89&lt;0,AE89=""),"TODO !","")</f>
        <v/>
      </c>
      <c r="AG89" s="53"/>
      <c r="AH89" s="2"/>
      <c r="AI89" s="48" t="n">
        <f aca="false">U89*V89*R89</f>
        <v>0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str">
        <f aca="false">IF(J89="x",AN$4,"")</f>
        <v/>
      </c>
      <c r="AO89" s="2"/>
      <c r="AP89" s="48" t="n">
        <f aca="false">COUNTIF(G89:J89,"=x")</f>
        <v>0</v>
      </c>
      <c r="AQ89" s="48" t="str">
        <f aca="false">IF(AP89&gt;0,AVERAGE(AK89:AN89),"")</f>
        <v/>
      </c>
      <c r="AR89" s="48" t="str">
        <f aca="false">IF(AND(AP89&gt;0,U89=1),AQ89*R89,"")</f>
        <v/>
      </c>
      <c r="AS89" s="2"/>
      <c r="AT89" s="48" t="n">
        <f aca="false">AI89*3</f>
        <v>0</v>
      </c>
      <c r="AV89" s="54"/>
      <c r="AW89" s="54"/>
    </row>
    <row r="90" customFormat="false" ht="13.2" hidden="false" customHeight="false" outlineLevel="1" collapsed="false">
      <c r="B90" s="107"/>
      <c r="C90" s="55" t="s">
        <v>79</v>
      </c>
      <c r="D90" s="56"/>
      <c r="E90" s="76"/>
      <c r="F90" s="34"/>
      <c r="G90" s="41"/>
      <c r="H90" s="41"/>
      <c r="I90" s="41"/>
      <c r="J90" s="59"/>
      <c r="K90" s="43"/>
      <c r="L90" s="43"/>
      <c r="Q90" s="43"/>
      <c r="R90" s="77" t="n">
        <v>5</v>
      </c>
      <c r="S90" s="8"/>
      <c r="U90" s="48"/>
      <c r="V90" s="48"/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150"/>
      <c r="AB90" s="50"/>
      <c r="AC90" s="150" t="n">
        <f aca="false">IF(Y90&lt;&gt;ByStudent!Y90,Y90-ByStudent!Y90,0)</f>
        <v>0</v>
      </c>
      <c r="AD90" s="50"/>
      <c r="AE90" s="74"/>
      <c r="AF90" s="0" t="str">
        <f aca="false">IF(AND(AC90&lt;0,AE90=""),"TODO !","")</f>
        <v/>
      </c>
      <c r="AG90" s="53"/>
      <c r="AH90" s="2"/>
      <c r="AI90" s="48" t="n">
        <f aca="false">U90*V90*R90</f>
        <v>0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0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F91" s="0" t="str">
        <f aca="false">IF(AND(AC91&lt;0,AE91=""),"TODO !","")</f>
        <v/>
      </c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true" customHeight="false" outlineLevel="1" collapsed="false">
      <c r="B92" s="67"/>
      <c r="C92" s="123" t="s">
        <v>80</v>
      </c>
      <c r="D92" s="123"/>
      <c r="E92" s="123"/>
      <c r="F92" s="34"/>
      <c r="G92" s="63"/>
      <c r="H92" s="63"/>
      <c r="I92" s="63"/>
      <c r="J92" s="63"/>
      <c r="K92" s="43"/>
      <c r="L92" s="43"/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F92" s="0" t="str">
        <f aca="false">IF(AND(AC92&lt;0,AE92=""),"TODO !","")</f>
        <v/>
      </c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3.2" hidden="true" customHeight="false" outlineLevel="1" collapsed="false">
      <c r="B93" s="99" t="s">
        <v>83</v>
      </c>
      <c r="C93" s="38" t="s">
        <v>84</v>
      </c>
      <c r="D93" s="39" t="s">
        <v>20</v>
      </c>
      <c r="E93" s="92" t="s">
        <v>85</v>
      </c>
      <c r="F93" s="34"/>
      <c r="G93" s="41"/>
      <c r="H93" s="41"/>
      <c r="I93" s="207"/>
      <c r="J93" s="41"/>
      <c r="K93" s="43"/>
      <c r="L93" s="43"/>
      <c r="Q93" s="43"/>
      <c r="R93" s="77" t="n">
        <v>1</v>
      </c>
      <c r="S93" s="8" t="n">
        <v>22</v>
      </c>
      <c r="U93" s="48"/>
      <c r="V93" s="48"/>
      <c r="W93" s="26" t="str">
        <f aca="false">IF(AND(U93=1,V93=0),"Bonus","")</f>
        <v/>
      </c>
      <c r="X93" s="26"/>
      <c r="Y93" s="49" t="str">
        <f aca="false">IF(U93=1,AR93,"")</f>
        <v/>
      </c>
      <c r="Z93" s="50"/>
      <c r="AA93" s="150"/>
      <c r="AB93" s="50"/>
      <c r="AC93" s="150" t="n">
        <f aca="false">IF(Y93&lt;&gt;ByStudent!Y93,Y93-ByStudent!Y93,0)</f>
        <v>0</v>
      </c>
      <c r="AD93" s="50"/>
      <c r="AE93" s="74"/>
      <c r="AF93" s="0" t="str">
        <f aca="false">IF(AND(AC93&lt;0,AE93=""),"TODO !","")</f>
        <v/>
      </c>
      <c r="AG93" s="53" t="s">
        <v>86</v>
      </c>
      <c r="AH93" s="2"/>
      <c r="AI93" s="48" t="n">
        <f aca="false">U93*V93*R93</f>
        <v>0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str">
        <f aca="false">IF(J93="x",AN$4,"")</f>
        <v/>
      </c>
      <c r="AO93" s="2"/>
      <c r="AP93" s="48" t="n">
        <f aca="false">COUNTIF(G93:J93,"=x")</f>
        <v>0</v>
      </c>
      <c r="AQ93" s="48" t="str">
        <f aca="false">IF(AP93&gt;0,AVERAGE(AK93:AN93),"")</f>
        <v/>
      </c>
      <c r="AR93" s="48" t="str">
        <f aca="false">IF(AND(AP93&gt;0,U93=1),AQ93*R93,"")</f>
        <v/>
      </c>
      <c r="AS93" s="2"/>
      <c r="AT93" s="48" t="n">
        <f aca="false">AI93*3</f>
        <v>0</v>
      </c>
      <c r="AV93" s="54" t="n">
        <f aca="false">SUM(AR93:AR100)</f>
        <v>0</v>
      </c>
      <c r="AW93" s="54" t="n">
        <f aca="false">SUM(AT93:AT100)</f>
        <v>0</v>
      </c>
    </row>
    <row r="94" customFormat="false" ht="13.2" hidden="true" customHeight="false" outlineLevel="1" collapsed="false">
      <c r="B94" s="99"/>
      <c r="C94" s="82"/>
      <c r="D94" s="34"/>
      <c r="E94" s="93" t="s">
        <v>87</v>
      </c>
      <c r="F94" s="3"/>
      <c r="G94" s="41"/>
      <c r="H94" s="41"/>
      <c r="I94" s="207"/>
      <c r="J94" s="41"/>
      <c r="K94" s="43"/>
      <c r="L94" s="43"/>
      <c r="Q94" s="43"/>
      <c r="R94" s="77" t="n">
        <v>2</v>
      </c>
      <c r="S94" s="8"/>
      <c r="U94" s="48"/>
      <c r="V94" s="48"/>
      <c r="W94" s="26" t="str">
        <f aca="false">IF(AND(U94=1,V94=0),"Bonus","")</f>
        <v/>
      </c>
      <c r="X94" s="26"/>
      <c r="Y94" s="49" t="str">
        <f aca="false">IF(U94=1,AR94,"")</f>
        <v/>
      </c>
      <c r="Z94" s="50"/>
      <c r="AA94" s="150"/>
      <c r="AB94" s="50"/>
      <c r="AC94" s="150" t="n">
        <f aca="false">IF(Y94&lt;&gt;ByStudent!Y94,Y94-ByStudent!Y94,0)</f>
        <v>0</v>
      </c>
      <c r="AD94" s="50"/>
      <c r="AE94" s="74"/>
      <c r="AF94" s="0" t="str">
        <f aca="false">IF(AND(AC94&lt;0,AE94=""),"TODO !","")</f>
        <v/>
      </c>
      <c r="AG94" s="53"/>
      <c r="AH94" s="2"/>
      <c r="AI94" s="48" t="n">
        <f aca="false">U94*V94*R94</f>
        <v>0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str">
        <f aca="false">IF(J94="x",AN$4,"")</f>
        <v/>
      </c>
      <c r="AO94" s="2"/>
      <c r="AP94" s="48" t="n">
        <f aca="false">COUNTIF(G94:J94,"=x")</f>
        <v>0</v>
      </c>
      <c r="AQ94" s="48" t="str">
        <f aca="false">IF(AP94&gt;0,AVERAGE(AK94:AN94),"")</f>
        <v/>
      </c>
      <c r="AR94" s="48" t="str">
        <f aca="false">IF(AND(AP94&gt;0,U94=1),AQ94*R94,"")</f>
        <v/>
      </c>
      <c r="AS94" s="2"/>
      <c r="AT94" s="48" t="n">
        <f aca="false">AI94*3</f>
        <v>0</v>
      </c>
      <c r="AV94" s="54"/>
      <c r="AW94" s="54"/>
    </row>
    <row r="95" customFormat="false" ht="13.2" hidden="true" customHeight="false" outlineLevel="1" collapsed="false">
      <c r="B95" s="99"/>
      <c r="C95" s="82" t="s">
        <v>84</v>
      </c>
      <c r="D95" s="34" t="s">
        <v>30</v>
      </c>
      <c r="E95" s="93" t="s">
        <v>85</v>
      </c>
      <c r="F95" s="3" t="s">
        <v>34</v>
      </c>
      <c r="G95" s="41"/>
      <c r="H95" s="41"/>
      <c r="I95" s="207"/>
      <c r="J95" s="41"/>
      <c r="K95" s="43"/>
      <c r="L95" s="43"/>
      <c r="Q95" s="43"/>
      <c r="R95" s="77" t="n">
        <v>1</v>
      </c>
      <c r="S95" s="8"/>
      <c r="U95" s="48"/>
      <c r="V95" s="48"/>
      <c r="W95" s="26" t="str">
        <f aca="false">IF(AND(U95=1,V95=0),"Bonus","")</f>
        <v/>
      </c>
      <c r="X95" s="26"/>
      <c r="Y95" s="49" t="str">
        <f aca="false">IF(U95=1,AR95,"")</f>
        <v/>
      </c>
      <c r="Z95" s="50"/>
      <c r="AA95" s="150"/>
      <c r="AB95" s="50"/>
      <c r="AC95" s="150" t="n">
        <f aca="false">IF(Y95&lt;&gt;ByStudent!Y95,Y95-ByStudent!Y95,0)</f>
        <v>0</v>
      </c>
      <c r="AD95" s="50"/>
      <c r="AE95" s="74"/>
      <c r="AF95" s="0" t="str">
        <f aca="false">IF(AND(AC95&lt;0,AE95=""),"TODO !","")</f>
        <v/>
      </c>
      <c r="AG95" s="53"/>
      <c r="AH95" s="2"/>
      <c r="AI95" s="48" t="n">
        <f aca="false">U95*V95*R95</f>
        <v>0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str">
        <f aca="false">IF(J95="x",AN$4,"")</f>
        <v/>
      </c>
      <c r="AO95" s="2"/>
      <c r="AP95" s="48" t="n">
        <f aca="false">COUNTIF(G95:J95,"=x")</f>
        <v>0</v>
      </c>
      <c r="AQ95" s="48" t="str">
        <f aca="false">IF(AP95&gt;0,AVERAGE(AK95:AN95),"")</f>
        <v/>
      </c>
      <c r="AR95" s="48" t="str">
        <f aca="false">IF(AND(AP95&gt;0,U95=1),AQ95*R95,"")</f>
        <v/>
      </c>
      <c r="AS95" s="2"/>
      <c r="AT95" s="48" t="n">
        <f aca="false">AI95*3</f>
        <v>0</v>
      </c>
      <c r="AV95" s="54"/>
      <c r="AW95" s="54"/>
    </row>
    <row r="96" customFormat="false" ht="13.2" hidden="true" customHeight="false" outlineLevel="1" collapsed="false">
      <c r="B96" s="99"/>
      <c r="C96" s="82"/>
      <c r="D96" s="34"/>
      <c r="E96" s="93" t="s">
        <v>87</v>
      </c>
      <c r="F96" s="3" t="s">
        <v>34</v>
      </c>
      <c r="G96" s="41"/>
      <c r="H96" s="41"/>
      <c r="I96" s="207"/>
      <c r="J96" s="41"/>
      <c r="K96" s="43"/>
      <c r="L96" s="43"/>
      <c r="Q96" s="43"/>
      <c r="R96" s="77" t="n">
        <v>2</v>
      </c>
      <c r="S96" s="8"/>
      <c r="U96" s="48"/>
      <c r="V96" s="48"/>
      <c r="W96" s="26" t="str">
        <f aca="false">IF(AND(U96=1,V96=0),"Bonus","")</f>
        <v/>
      </c>
      <c r="X96" s="26"/>
      <c r="Y96" s="49" t="str">
        <f aca="false">IF(U96=1,AR96,"")</f>
        <v/>
      </c>
      <c r="Z96" s="50"/>
      <c r="AA96" s="150"/>
      <c r="AB96" s="50"/>
      <c r="AC96" s="150" t="n">
        <f aca="false">IF(Y96&lt;&gt;ByStudent!Y96,Y96-ByStudent!Y96,0)</f>
        <v>0</v>
      </c>
      <c r="AD96" s="50"/>
      <c r="AE96" s="74"/>
      <c r="AF96" s="0" t="str">
        <f aca="false">IF(AND(AC96&lt;0,AE96=""),"TODO !","")</f>
        <v/>
      </c>
      <c r="AG96" s="53"/>
      <c r="AH96" s="2"/>
      <c r="AI96" s="48" t="n">
        <f aca="false">U96*V96*R96</f>
        <v>0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str">
        <f aca="false">IF(J96="x",AN$4,"")</f>
        <v/>
      </c>
      <c r="AO96" s="2"/>
      <c r="AP96" s="48" t="n">
        <f aca="false">COUNTIF(G96:J96,"=x")</f>
        <v>0</v>
      </c>
      <c r="AQ96" s="48" t="str">
        <f aca="false">IF(AP96&gt;0,AVERAGE(AK96:AN96),"")</f>
        <v/>
      </c>
      <c r="AR96" s="48" t="str">
        <f aca="false">IF(AND(AP96&gt;0,U96=1),AQ96*R96,"")</f>
        <v/>
      </c>
      <c r="AS96" s="2"/>
      <c r="AT96" s="48" t="n">
        <f aca="false">AI96*3</f>
        <v>0</v>
      </c>
      <c r="AV96" s="54"/>
      <c r="AW96" s="54"/>
    </row>
    <row r="97" customFormat="false" ht="13.2" hidden="true" customHeight="false" outlineLevel="1" collapsed="false">
      <c r="B97" s="99"/>
      <c r="C97" s="82" t="s">
        <v>84</v>
      </c>
      <c r="D97" s="34" t="s">
        <v>88</v>
      </c>
      <c r="E97" s="93" t="s">
        <v>85</v>
      </c>
      <c r="F97" s="3"/>
      <c r="G97" s="41"/>
      <c r="H97" s="41"/>
      <c r="I97" s="207"/>
      <c r="J97" s="41"/>
      <c r="K97" s="43"/>
      <c r="L97" s="43"/>
      <c r="Q97" s="43"/>
      <c r="R97" s="77" t="n">
        <v>1</v>
      </c>
      <c r="S97" s="8"/>
      <c r="U97" s="48"/>
      <c r="V97" s="48"/>
      <c r="W97" s="26" t="str">
        <f aca="false">IF(AND(U97=1,V97=0),"Bonus","")</f>
        <v/>
      </c>
      <c r="X97" s="26"/>
      <c r="Y97" s="49" t="str">
        <f aca="false">IF(U97=1,AR97,"")</f>
        <v/>
      </c>
      <c r="Z97" s="50"/>
      <c r="AA97" s="150"/>
      <c r="AB97" s="50"/>
      <c r="AC97" s="150" t="n">
        <f aca="false">IF(Y97&lt;&gt;ByStudent!Y97,Y97-ByStudent!Y97,0)</f>
        <v>0</v>
      </c>
      <c r="AD97" s="50"/>
      <c r="AE97" s="74"/>
      <c r="AF97" s="0" t="str">
        <f aca="false">IF(AND(AC97&lt;0,AE97=""),"TODO !","")</f>
        <v/>
      </c>
      <c r="AG97" s="53"/>
      <c r="AH97" s="2"/>
      <c r="AI97" s="48" t="n">
        <f aca="false">U97*V97*R97</f>
        <v>0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str">
        <f aca="false">IF(J97="x",AN$4,"")</f>
        <v/>
      </c>
      <c r="AO97" s="2"/>
      <c r="AP97" s="48" t="n">
        <f aca="false">COUNTIF(G97:J97,"=x")</f>
        <v>0</v>
      </c>
      <c r="AQ97" s="48" t="str">
        <f aca="false">IF(AP97&gt;0,AVERAGE(AK97:AN97),"")</f>
        <v/>
      </c>
      <c r="AR97" s="48" t="str">
        <f aca="false">IF(AND(AP97&gt;0,U97=1),AQ97*R97,"")</f>
        <v/>
      </c>
      <c r="AS97" s="2"/>
      <c r="AT97" s="48" t="n">
        <f aca="false">AI97*3</f>
        <v>0</v>
      </c>
      <c r="AV97" s="54"/>
      <c r="AW97" s="54"/>
    </row>
    <row r="98" customFormat="false" ht="13.2" hidden="true" customHeight="false" outlineLevel="1" collapsed="false">
      <c r="B98" s="99"/>
      <c r="C98" s="82"/>
      <c r="D98" s="34"/>
      <c r="E98" s="93" t="s">
        <v>87</v>
      </c>
      <c r="F98" s="3"/>
      <c r="G98" s="41"/>
      <c r="H98" s="41"/>
      <c r="I98" s="207"/>
      <c r="J98" s="41"/>
      <c r="K98" s="43"/>
      <c r="L98" s="43"/>
      <c r="Q98" s="43"/>
      <c r="R98" s="77" t="n">
        <v>2</v>
      </c>
      <c r="S98" s="8"/>
      <c r="U98" s="48"/>
      <c r="V98" s="48"/>
      <c r="W98" s="26" t="str">
        <f aca="false">IF(AND(U98=1,V98=0),"Bonus","")</f>
        <v/>
      </c>
      <c r="X98" s="26"/>
      <c r="Y98" s="49" t="str">
        <f aca="false">IF(U98=1,AR98,"")</f>
        <v/>
      </c>
      <c r="Z98" s="50"/>
      <c r="AA98" s="150"/>
      <c r="AB98" s="50"/>
      <c r="AC98" s="150" t="n">
        <f aca="false">IF(Y98&lt;&gt;ByStudent!Y98,Y98-ByStudent!Y98,0)</f>
        <v>0</v>
      </c>
      <c r="AD98" s="50"/>
      <c r="AE98" s="74"/>
      <c r="AF98" s="0" t="str">
        <f aca="false">IF(AND(AC98&lt;0,AE98=""),"TODO !","")</f>
        <v/>
      </c>
      <c r="AG98" s="53"/>
      <c r="AH98" s="2"/>
      <c r="AI98" s="48" t="n">
        <f aca="false">U98*V98*R98</f>
        <v>0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str">
        <f aca="false">IF(J98="x",AN$4,"")</f>
        <v/>
      </c>
      <c r="AO98" s="2"/>
      <c r="AP98" s="48" t="n">
        <f aca="false">COUNTIF(G98:J98,"=x")</f>
        <v>0</v>
      </c>
      <c r="AQ98" s="48" t="str">
        <f aca="false">IF(AP98&gt;0,AVERAGE(AK98:AN98),"")</f>
        <v/>
      </c>
      <c r="AR98" s="48" t="str">
        <f aca="false">IF(AND(AP98&gt;0,U98=1),AQ98*R98,"")</f>
        <v/>
      </c>
      <c r="AS98" s="2"/>
      <c r="AT98" s="48" t="n">
        <f aca="false">AI98*3</f>
        <v>0</v>
      </c>
      <c r="AV98" s="54"/>
      <c r="AW98" s="54"/>
    </row>
    <row r="99" customFormat="false" ht="13.2" hidden="true" customHeight="false" outlineLevel="1" collapsed="false">
      <c r="B99" s="99"/>
      <c r="C99" s="82" t="s">
        <v>84</v>
      </c>
      <c r="D99" s="34" t="s">
        <v>89</v>
      </c>
      <c r="E99" s="93" t="s">
        <v>85</v>
      </c>
      <c r="F99" s="3" t="s">
        <v>55</v>
      </c>
      <c r="G99" s="41"/>
      <c r="H99" s="41"/>
      <c r="I99" s="207"/>
      <c r="J99" s="41"/>
      <c r="K99" s="43"/>
      <c r="L99" s="43"/>
      <c r="Q99" s="43"/>
      <c r="R99" s="47" t="n">
        <v>1</v>
      </c>
      <c r="S99" s="8"/>
      <c r="U99" s="48"/>
      <c r="V99" s="48"/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150"/>
      <c r="AB99" s="50"/>
      <c r="AC99" s="150" t="n">
        <f aca="false">IF(Y99&lt;&gt;ByStudent!Y99,Y99-ByStudent!Y99,0)</f>
        <v>0</v>
      </c>
      <c r="AD99" s="50"/>
      <c r="AE99" s="74"/>
      <c r="AF99" s="0" t="str">
        <f aca="false">IF(AND(AC99&lt;0,AE99=""),"TODO !","")</f>
        <v/>
      </c>
      <c r="AG99" s="53"/>
      <c r="AH99" s="2"/>
      <c r="AI99" s="48" t="n">
        <f aca="false">U99*V99*R99</f>
        <v>0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0</v>
      </c>
      <c r="AV99" s="54"/>
      <c r="AW99" s="54"/>
    </row>
    <row r="100" customFormat="false" ht="13.2" hidden="true" customHeight="false" outlineLevel="1" collapsed="false">
      <c r="B100" s="99"/>
      <c r="C100" s="131"/>
      <c r="D100" s="132"/>
      <c r="E100" s="133" t="s">
        <v>87</v>
      </c>
      <c r="F100" s="3" t="s">
        <v>55</v>
      </c>
      <c r="G100" s="41"/>
      <c r="H100" s="41"/>
      <c r="I100" s="207"/>
      <c r="J100" s="41"/>
      <c r="K100" s="43"/>
      <c r="L100" s="43"/>
      <c r="Q100" s="43"/>
      <c r="R100" s="47" t="n">
        <v>2</v>
      </c>
      <c r="S100" s="8"/>
      <c r="U100" s="48"/>
      <c r="V100" s="48"/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150"/>
      <c r="AB100" s="50"/>
      <c r="AC100" s="150" t="n">
        <f aca="false">IF(Y100&lt;&gt;ByStudent!Y100,Y100-ByStudent!Y100,0)</f>
        <v>0</v>
      </c>
      <c r="AD100" s="50"/>
      <c r="AE100" s="74"/>
      <c r="AF100" s="0" t="str">
        <f aca="false">IF(AND(AC100&lt;0,AE100=""),"TODO !","")</f>
        <v/>
      </c>
      <c r="AG100" s="53"/>
      <c r="AH100" s="2"/>
      <c r="AI100" s="48" t="n">
        <f aca="false">U100*V100*R100</f>
        <v>0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0</v>
      </c>
      <c r="AV100" s="54"/>
      <c r="AW100" s="54"/>
    </row>
    <row r="101" customFormat="false" ht="13.2" hidden="false" customHeight="false" outlineLevel="0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Q101" s="35"/>
      <c r="R101" s="21"/>
      <c r="S101" s="21"/>
      <c r="U101" s="2"/>
      <c r="V101" s="2"/>
      <c r="W101" s="26"/>
      <c r="X101" s="26"/>
      <c r="Y101" s="65"/>
      <c r="Z101" s="50"/>
      <c r="AA101" s="50"/>
      <c r="AB101" s="50"/>
      <c r="AC101" s="50"/>
      <c r="AE101" s="73"/>
      <c r="AF101" s="0" t="str">
        <f aca="false">IF(AND(AC101&lt;0,AE101=""),"TODO !","")</f>
        <v/>
      </c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Q102" s="35"/>
      <c r="R102" s="21"/>
      <c r="S102" s="21"/>
      <c r="U102" s="2"/>
      <c r="V102" s="2"/>
      <c r="W102" s="26"/>
      <c r="X102" s="26"/>
      <c r="Y102" s="65"/>
      <c r="Z102" s="50"/>
      <c r="AA102" s="50"/>
      <c r="AB102" s="50"/>
      <c r="AC102" s="50"/>
      <c r="AE102" s="73"/>
      <c r="AF102" s="0" t="str">
        <f aca="false">IF(AND(AC102&lt;0,AE102=""),"TODO !","")</f>
        <v/>
      </c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90</v>
      </c>
      <c r="C103" s="38" t="s">
        <v>91</v>
      </c>
      <c r="D103" s="39"/>
      <c r="E103" s="137" t="s">
        <v>92</v>
      </c>
      <c r="F103" s="34"/>
      <c r="G103" s="41"/>
      <c r="H103" s="41"/>
      <c r="I103" s="41"/>
      <c r="J103" s="41"/>
      <c r="K103" s="35"/>
      <c r="L103" s="35"/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str">
        <f aca="false">IF(U103=1,AR103,"")</f>
        <v/>
      </c>
      <c r="Z103" s="50"/>
      <c r="AA103" s="150"/>
      <c r="AB103" s="50"/>
      <c r="AC103" s="150" t="e">
        <f aca="false">IF(Y103&lt;&gt;ByStudent!Y103,Y103-ByStudent!Y103,0)</f>
        <v>#VALUE!</v>
      </c>
      <c r="AE103" s="74"/>
      <c r="AF103" s="0" t="e">
        <f aca="false">IF(AND(AC103&lt;0,AE103=""),"TODO !","")</f>
        <v>#VALUE!</v>
      </c>
      <c r="AG103" s="53" t="s">
        <v>94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str">
        <f aca="false">IF(J103="x",AN$4,"")</f>
        <v/>
      </c>
      <c r="AO103" s="2"/>
      <c r="AP103" s="48" t="n">
        <f aca="false">COUNTIF(G103:J103,"=x")</f>
        <v>0</v>
      </c>
      <c r="AQ103" s="48" t="str">
        <f aca="false">IF(AP103&gt;0,AVERAGE(AK103:AN103),"")</f>
        <v/>
      </c>
      <c r="AR103" s="48" t="str">
        <f aca="false">IF(AND(AP103&gt;0,U103=1),AQ103*R103,"")</f>
        <v/>
      </c>
      <c r="AS103" s="2"/>
      <c r="AT103" s="48" t="n">
        <f aca="false">AI103*3</f>
        <v>12</v>
      </c>
      <c r="AV103" s="54" t="n">
        <f aca="false">SUM(AR103:AR108)</f>
        <v>0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95</v>
      </c>
      <c r="D104" s="139"/>
      <c r="E104" s="137"/>
      <c r="F104" s="34"/>
      <c r="G104" s="41"/>
      <c r="H104" s="41"/>
      <c r="I104" s="41"/>
      <c r="J104" s="41"/>
      <c r="K104" s="35"/>
      <c r="L104" s="35"/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Z104" s="50"/>
      <c r="AA104" s="150"/>
      <c r="AB104" s="50"/>
      <c r="AC104" s="150" t="n">
        <f aca="false">IF(Y104&lt;&gt;ByStudent!Y104,Y104-ByStudent!Y104,0)</f>
        <v>0</v>
      </c>
      <c r="AE104" s="74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2.75" hidden="false" customHeight="true" outlineLevel="0" collapsed="false">
      <c r="B105" s="22"/>
      <c r="C105" s="82" t="s">
        <v>96</v>
      </c>
      <c r="E105" s="137" t="s">
        <v>97</v>
      </c>
      <c r="F105" s="34"/>
      <c r="G105" s="41"/>
      <c r="H105" s="58"/>
      <c r="I105" s="42"/>
      <c r="J105" s="41"/>
      <c r="K105" s="35"/>
      <c r="L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Z105" s="50"/>
      <c r="AA105" s="150"/>
      <c r="AB105" s="50"/>
      <c r="AC105" s="150" t="n">
        <f aca="false">IF(Y105&lt;&gt;ByStudent!Y105,Y105-ByStudent!Y105,0)</f>
        <v>0</v>
      </c>
      <c r="AE105" s="208"/>
      <c r="AF105" s="0" t="str">
        <f aca="false">IF(AND(AC105&lt;0,AE105=""),"TODO !","")</f>
        <v/>
      </c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98</v>
      </c>
      <c r="E106" s="137"/>
      <c r="F106" s="34"/>
      <c r="G106" s="41"/>
      <c r="H106" s="58"/>
      <c r="I106" s="42"/>
      <c r="J106" s="41"/>
      <c r="K106" s="35"/>
      <c r="L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Z106" s="50"/>
      <c r="AA106" s="150"/>
      <c r="AB106" s="50"/>
      <c r="AC106" s="150" t="n">
        <f aca="false">IF(Y106&lt;&gt;ByStudent!Y106,Y106-ByStudent!Y106,0)</f>
        <v>0</v>
      </c>
      <c r="AE106" s="208"/>
      <c r="AF106" s="0" t="str">
        <f aca="false">IF(AND(AC106&lt;0,AE106=""),"TODO !","")</f>
        <v/>
      </c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99</v>
      </c>
      <c r="D107" s="34"/>
      <c r="E107" s="137"/>
      <c r="F107" s="34"/>
      <c r="G107" s="41"/>
      <c r="H107" s="58"/>
      <c r="I107" s="42"/>
      <c r="J107" s="41"/>
      <c r="K107" s="35"/>
      <c r="L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Z107" s="50"/>
      <c r="AA107" s="150"/>
      <c r="AB107" s="50"/>
      <c r="AC107" s="150" t="n">
        <f aca="false">IF(Y107&lt;&gt;ByStudent!Y107,Y107-ByStudent!Y107,0)</f>
        <v>0</v>
      </c>
      <c r="AE107" s="208"/>
      <c r="AF107" s="0" t="str">
        <f aca="false">IF(AND(AC107&lt;0,AE107=""),"TODO !","")</f>
        <v/>
      </c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100</v>
      </c>
      <c r="D108" s="56"/>
      <c r="E108" s="137"/>
      <c r="F108" s="34"/>
      <c r="G108" s="41"/>
      <c r="H108" s="58"/>
      <c r="I108" s="42"/>
      <c r="J108" s="41"/>
      <c r="K108" s="35"/>
      <c r="L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Z108" s="50"/>
      <c r="AA108" s="150"/>
      <c r="AB108" s="50"/>
      <c r="AC108" s="150" t="n">
        <f aca="false">IF(Y108&lt;&gt;ByStudent!Y108,Y108-ByStudent!Y108,0)</f>
        <v>0</v>
      </c>
      <c r="AE108" s="208"/>
      <c r="AF108" s="0" t="str">
        <f aca="false">IF(AND(AC108&lt;0,AE108=""),"TODO !","")</f>
        <v/>
      </c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Q109" s="35"/>
      <c r="R109" s="21"/>
      <c r="S109" s="21"/>
      <c r="U109" s="2"/>
      <c r="V109" s="2"/>
      <c r="W109" s="26"/>
      <c r="X109" s="2"/>
      <c r="Y109" s="65"/>
      <c r="AC109" s="50"/>
      <c r="AE109" s="141"/>
      <c r="AF109" s="0" t="str">
        <f aca="false">IF(AND(AC109&lt;0,AE109=""),"TODO !","")</f>
        <v/>
      </c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C110" s="50"/>
      <c r="AE110" s="141"/>
      <c r="AF110" s="0" t="str">
        <f aca="false">IF(AND(AC110&lt;0,AE110=""),"TODO !","")</f>
        <v/>
      </c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3.2" hidden="false" customHeight="false" outlineLevel="0" collapsed="false">
      <c r="B111" s="99" t="s">
        <v>101</v>
      </c>
      <c r="C111" s="38" t="s">
        <v>102</v>
      </c>
      <c r="D111" s="39"/>
      <c r="E111" s="92"/>
      <c r="F111" s="34"/>
      <c r="G111" s="41"/>
      <c r="H111" s="142"/>
      <c r="I111" s="42"/>
      <c r="J111" s="41"/>
      <c r="K111" s="43"/>
      <c r="L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48"/>
      <c r="AB111" s="2"/>
      <c r="AC111" s="150" t="n">
        <f aca="false">IF(Y111&lt;&gt;ByStudent!Y111,Y111-ByStudent!Y111,0)</f>
        <v>0</v>
      </c>
      <c r="AD111" s="2"/>
      <c r="AE111" s="208"/>
      <c r="AF111" s="0" t="str">
        <f aca="false">IF(AND(AC111&lt;0,AE111=""),"TODO !","")</f>
        <v/>
      </c>
      <c r="AG111" s="53" t="s">
        <v>103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3.2" hidden="false" customHeight="false" outlineLevel="0" collapsed="false">
      <c r="B112" s="99"/>
      <c r="C112" s="82" t="s">
        <v>104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48"/>
      <c r="AB112" s="2"/>
      <c r="AC112" s="150" t="n">
        <f aca="false">IF(Y112&lt;&gt;ByStudent!Y112,Y112-ByStudent!Y112,0)</f>
        <v>0</v>
      </c>
      <c r="AD112" s="2"/>
      <c r="AE112" s="208"/>
      <c r="AF112" s="0" t="str">
        <f aca="false">IF(AND(AC112&lt;0,AE112=""),"TODO !","")</f>
        <v/>
      </c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3.2" hidden="false" customHeight="false" outlineLevel="0" collapsed="false">
      <c r="B113" s="99"/>
      <c r="C113" s="82" t="s">
        <v>105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48"/>
      <c r="AB113" s="2"/>
      <c r="AC113" s="150" t="n">
        <f aca="false">IF(Y113&lt;&gt;ByStudent!Y113,Y113-ByStudent!Y113,0)</f>
        <v>0</v>
      </c>
      <c r="AD113" s="2"/>
      <c r="AE113" s="208"/>
      <c r="AF113" s="0" t="str">
        <f aca="false">IF(AND(AC113&lt;0,AE113=""),"TODO !","")</f>
        <v/>
      </c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3.2" hidden="false" customHeight="false" outlineLevel="0" collapsed="false">
      <c r="B114" s="99"/>
      <c r="C114" s="55" t="s">
        <v>106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48"/>
      <c r="AB114" s="2"/>
      <c r="AC114" s="150" t="n">
        <f aca="false">IF(Y114&lt;&gt;ByStudent!Y114,Y114-ByStudent!Y114,0)</f>
        <v>0</v>
      </c>
      <c r="AE114" s="208"/>
      <c r="AF114" s="0" t="str">
        <f aca="false">IF(AND(AC114&lt;0,AE114=""),"TODO !","")</f>
        <v/>
      </c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C115" s="50"/>
      <c r="AF115" s="0" t="str">
        <f aca="false">IF(AND(AC115&lt;0,AE115=""),"TODO !","")</f>
        <v/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107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50"/>
      <c r="AD116" s="2"/>
      <c r="AE116" s="2"/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108</v>
      </c>
      <c r="C117" s="146"/>
      <c r="D117" s="147"/>
      <c r="E117" s="148" t="s">
        <v>109</v>
      </c>
      <c r="G117" s="209" t="str">
        <f aca="false">IF(ByStudent!G117&lt;&gt;"",ByStudent!G117,"")</f>
        <v>Nvidia Geforce RTX 20180 Ti</v>
      </c>
      <c r="H117" s="209"/>
      <c r="I117" s="209"/>
      <c r="J117" s="209"/>
      <c r="K117" s="2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48"/>
      <c r="AB117" s="2"/>
      <c r="AC117" s="150" t="n">
        <f aca="false">IF(Y117&lt;&gt;ByStudent!Y117,Y117-ByStudent!Y117,0)</f>
        <v>0</v>
      </c>
      <c r="AD117" s="2"/>
      <c r="AE117" s="2"/>
      <c r="AG117" s="151" t="s">
        <v>111</v>
      </c>
      <c r="AH117" s="2"/>
      <c r="AI117" s="48" t="n">
        <f aca="false">U117*V117*R117</f>
        <v>0.5</v>
      </c>
      <c r="AJ117" s="2"/>
      <c r="AK117" s="152" t="s">
        <v>158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112</v>
      </c>
      <c r="G118" s="210" t="n">
        <f aca="false">IF(ByStudent!G118&lt;&gt;"",ByStudent!G118,"")</f>
        <v>75</v>
      </c>
      <c r="H118" s="210"/>
      <c r="I118" s="210"/>
      <c r="J118" s="210"/>
      <c r="K118" s="2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48"/>
      <c r="AB118" s="2"/>
      <c r="AC118" s="150" t="n">
        <f aca="false">IF(Y118&lt;&gt;ByStudent!Y118,Y118-ByStudent!Y118,0)</f>
        <v>0</v>
      </c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113</v>
      </c>
      <c r="G119" s="210" t="n">
        <f aca="false">IF(ByStudent!G119&lt;&gt;"",ByStudent!G119,"")</f>
        <v>4352</v>
      </c>
      <c r="H119" s="210"/>
      <c r="I119" s="210"/>
      <c r="J119" s="210"/>
      <c r="K119" s="2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48"/>
      <c r="AB119" s="2"/>
      <c r="AC119" s="150" t="n">
        <f aca="false">IF(Y119&lt;&gt;ByStudent!Y119,Y119-ByStudent!Y119,0)</f>
        <v>0</v>
      </c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114</v>
      </c>
      <c r="G120" s="210" t="n">
        <f aca="false">IF(ByStudent!G120&lt;&gt;"",ByStudent!G120,"")</f>
        <v>68</v>
      </c>
      <c r="H120" s="210"/>
      <c r="I120" s="210"/>
      <c r="J120" s="210"/>
      <c r="K120" s="2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A120" s="48"/>
      <c r="AC120" s="150" t="n">
        <f aca="false">IF(Y120&lt;&gt;ByStudent!Y120,Y120-ByStudent!Y120,0)</f>
        <v>0</v>
      </c>
      <c r="AG120" s="151"/>
      <c r="AI120" s="48" t="n">
        <f aca="false">U120*V120*R120</f>
        <v>0.5</v>
      </c>
      <c r="AJ120" s="2"/>
      <c r="AK120" s="152" t="n"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115</v>
      </c>
      <c r="G121" s="210" t="n">
        <f aca="false">IF(ByStudent!G121&lt;&gt;"",ByStudent!G121,"")</f>
        <v>64</v>
      </c>
      <c r="H121" s="210"/>
      <c r="I121" s="210"/>
      <c r="J121" s="210"/>
      <c r="K121" s="2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A121" s="48"/>
      <c r="AC121" s="150" t="n">
        <f aca="false">IF(Y121&lt;&gt;ByStudent!Y121,Y121-ByStudent!Y121,0)</f>
        <v>0</v>
      </c>
      <c r="AG121" s="151"/>
      <c r="AI121" s="48" t="n">
        <f aca="false">U121*V121*R121</f>
        <v>0.5</v>
      </c>
      <c r="AJ121" s="2"/>
      <c r="AK121" s="152" t="n"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116</v>
      </c>
      <c r="G122" s="210" t="n">
        <f aca="false">IF(ByStudent!G122&lt;&gt;"",ByStudent!G122,"")</f>
        <v>11</v>
      </c>
      <c r="H122" s="210"/>
      <c r="I122" s="210"/>
      <c r="J122" s="210"/>
      <c r="K122" s="2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A122" s="48"/>
      <c r="AC122" s="150" t="n">
        <f aca="false">IF(Y122&lt;&gt;ByStudent!Y122,Y122-ByStudent!Y122,0)</f>
        <v>0</v>
      </c>
      <c r="AE122" s="5"/>
      <c r="AG122" s="151"/>
      <c r="AI122" s="48" t="n">
        <f aca="false">U122*V122*R122</f>
        <v>0.5</v>
      </c>
      <c r="AJ122" s="2"/>
      <c r="AK122" s="152" t="n"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117</v>
      </c>
      <c r="G123" s="210" t="n">
        <f aca="false">IF(ByStudent!G123&lt;&gt;"",ByStudent!G123,"")</f>
        <v>48</v>
      </c>
      <c r="H123" s="210"/>
      <c r="I123" s="210"/>
      <c r="J123" s="210"/>
      <c r="K123" s="2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A123" s="48"/>
      <c r="AC123" s="150" t="n">
        <f aca="false">IF(Y123&lt;&gt;ByStudent!Y123,Y123-ByStudent!Y123,0)</f>
        <v>0</v>
      </c>
      <c r="AG123" s="151"/>
      <c r="AI123" s="48" t="n">
        <f aca="false">U123*V123*R123</f>
        <v>0.5</v>
      </c>
      <c r="AJ123" s="2"/>
      <c r="AK123" s="152" t="n"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118</v>
      </c>
      <c r="G124" s="211" t="n">
        <f aca="false">IF(ByStudent!G124&lt;&gt;"",ByStudent!G124,"")</f>
        <v>64</v>
      </c>
      <c r="H124" s="211"/>
      <c r="I124" s="211"/>
      <c r="J124" s="211"/>
      <c r="K124" s="2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A124" s="48"/>
      <c r="AC124" s="150" t="n">
        <f aca="false">IF(Y124&lt;&gt;ByStudent!Y124,Y124-ByStudent!Y124,0)</f>
        <v>0</v>
      </c>
      <c r="AG124" s="151"/>
      <c r="AI124" s="48" t="n">
        <f aca="false">U124*V124*R124</f>
        <v>0.5</v>
      </c>
      <c r="AJ124" s="2"/>
      <c r="AK124" s="152" t="n"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119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22.5" hidden="false" customHeight="true" outlineLevel="0" collapsed="false">
      <c r="L126" s="212" t="s">
        <v>159</v>
      </c>
      <c r="AC126" s="212" t="s">
        <v>159</v>
      </c>
    </row>
    <row r="127" customFormat="false" ht="24" hidden="false" customHeight="false" outlineLevel="0" collapsed="false">
      <c r="D127" s="161" t="s">
        <v>120</v>
      </c>
      <c r="E127" s="161"/>
      <c r="G127" s="162" t="n">
        <f aca="false">ROUND(AT132,1)</f>
        <v>1</v>
      </c>
      <c r="H127" s="162"/>
      <c r="I127" s="162"/>
      <c r="J127" s="162"/>
      <c r="K127" s="163"/>
      <c r="L127" s="162" t="n">
        <f aca="false">G127-ByStudent!G127</f>
        <v>-4.1</v>
      </c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3</v>
      </c>
      <c r="Z127" s="166" t="s">
        <v>121</v>
      </c>
      <c r="AA127" s="167" t="n">
        <f aca="false">AT127</f>
        <v>370</v>
      </c>
      <c r="AB127" s="80"/>
      <c r="AC127" s="213" t="e">
        <f aca="false">SUM(AC6:AC124)</f>
        <v>#VALUE!</v>
      </c>
      <c r="AE127" s="80"/>
      <c r="AF127" s="80"/>
      <c r="AG127" s="80"/>
      <c r="AH127" s="80"/>
      <c r="AI127" s="80"/>
      <c r="AJ127" s="80"/>
      <c r="AR127" s="165" t="n">
        <f aca="false">SUM(AR6:AR124)</f>
        <v>3</v>
      </c>
      <c r="AT127" s="166" t="n">
        <f aca="false">SUM(AT6:AT124)</f>
        <v>370</v>
      </c>
      <c r="AV127" s="168" t="n">
        <f aca="false">SUM(AV6:AV124)</f>
        <v>3</v>
      </c>
      <c r="AW127" s="168" t="n">
        <f aca="false">SUM(AW6:AW124)</f>
        <v>370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122</v>
      </c>
      <c r="AS128" s="2"/>
      <c r="AT128" s="32" t="s">
        <v>123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124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125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126</v>
      </c>
      <c r="Z132" s="175"/>
      <c r="AA132" s="175"/>
      <c r="AB132" s="175"/>
      <c r="AE132" s="176" t="s">
        <v>127</v>
      </c>
      <c r="AF132" s="5"/>
      <c r="AG132" s="5"/>
      <c r="AI132" s="212" t="s">
        <v>159</v>
      </c>
      <c r="AT132" s="177" t="n">
        <f aca="false">(AT136*AR127)+AT135</f>
        <v>1.04054054054054</v>
      </c>
    </row>
    <row r="133" customFormat="false" ht="13.5" hidden="false" customHeight="true" outlineLevel="0" collapsed="false">
      <c r="M133" s="8" t="s">
        <v>128</v>
      </c>
      <c r="N133" s="8"/>
      <c r="O133" s="8"/>
      <c r="P133" s="8"/>
      <c r="S133" s="8" t="s">
        <v>129</v>
      </c>
      <c r="T133" s="8"/>
      <c r="U133" s="8"/>
      <c r="V133" s="8"/>
      <c r="Y133" s="8" t="s">
        <v>130</v>
      </c>
      <c r="Z133" s="8"/>
      <c r="AA133" s="8"/>
      <c r="AB133" s="8"/>
      <c r="AT133" s="32" t="s">
        <v>120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131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132</v>
      </c>
      <c r="C136" s="209" t="str">
        <f aca="false">ByStudent!C136</f>
        <v>Mouchet</v>
      </c>
      <c r="D136" s="209"/>
      <c r="E136" s="209"/>
      <c r="F136" s="209"/>
      <c r="G136" s="209"/>
      <c r="H136" s="209"/>
      <c r="I136" s="209"/>
      <c r="J136" s="209"/>
      <c r="K136" s="209"/>
      <c r="M136" s="181" t="n">
        <f aca="false">ByStudent!M136</f>
        <v>0</v>
      </c>
      <c r="N136" s="181"/>
      <c r="O136" s="181"/>
      <c r="P136" s="181"/>
      <c r="S136" s="162" t="n">
        <f aca="false">G127+IF(M136&lt;&gt;"",MIN(M136,0.5),0)</f>
        <v>1</v>
      </c>
      <c r="T136" s="162"/>
      <c r="U136" s="162"/>
      <c r="V136" s="162"/>
      <c r="Y136" s="182" t="n">
        <f aca="false">MAX(1,MIN(S136,6))</f>
        <v>1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214" t="n">
        <f aca="false">Y136-ByStudent!Y136</f>
        <v>-4.1</v>
      </c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134</v>
      </c>
      <c r="AS136" s="186"/>
      <c r="AT136" s="187" t="n">
        <f aca="false">5/AT127</f>
        <v>0.0135135135135135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135</v>
      </c>
      <c r="C137" s="210" t="str">
        <f aca="false">ByStudent!C137</f>
        <v>Guillaume</v>
      </c>
      <c r="D137" s="210"/>
      <c r="E137" s="210"/>
      <c r="F137" s="210"/>
      <c r="G137" s="210"/>
      <c r="H137" s="210"/>
      <c r="I137" s="210"/>
      <c r="J137" s="210"/>
      <c r="K137" s="210"/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214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137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138</v>
      </c>
      <c r="C138" s="210" t="str">
        <f aca="false">ByStudent!C138</f>
        <v>guillaume.mouchet@he-arc.ch</v>
      </c>
      <c r="D138" s="210"/>
      <c r="E138" s="210"/>
      <c r="F138" s="210"/>
      <c r="G138" s="210"/>
      <c r="H138" s="210"/>
      <c r="I138" s="210"/>
      <c r="J138" s="210"/>
      <c r="K138" s="210"/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214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140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141</v>
      </c>
      <c r="C139" s="211" t="n">
        <f aca="false">ByStudent!C139</f>
        <v>27</v>
      </c>
      <c r="D139" s="211"/>
      <c r="E139" s="211"/>
      <c r="F139" s="211"/>
      <c r="G139" s="211"/>
      <c r="H139" s="211"/>
      <c r="I139" s="211"/>
      <c r="J139" s="211"/>
      <c r="K139" s="211"/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214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132</v>
      </c>
      <c r="C142" s="209" t="str">
        <f aca="false">ByStudent!C142</f>
        <v>Mouchet</v>
      </c>
      <c r="D142" s="209"/>
      <c r="E142" s="209"/>
      <c r="F142" s="209"/>
      <c r="G142" s="209"/>
      <c r="H142" s="209"/>
      <c r="I142" s="209"/>
      <c r="J142" s="209"/>
      <c r="K142" s="209"/>
      <c r="M142" s="181" t="n">
        <f aca="false">ByStudent!M142</f>
        <v>0</v>
      </c>
      <c r="N142" s="181"/>
      <c r="O142" s="181"/>
      <c r="P142" s="181"/>
      <c r="S142" s="162" t="n">
        <f aca="false">G127+IF(M142&lt;&gt;"",MIN(M142,0.5),0)</f>
        <v>1</v>
      </c>
      <c r="T142" s="162"/>
      <c r="U142" s="162"/>
      <c r="V142" s="162"/>
      <c r="Y142" s="182" t="n">
        <f aca="false">MAX(1,MIN(S142,6))</f>
        <v>1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214" t="n">
        <f aca="false">Y142-ByStudent!Y142</f>
        <v>-4.1</v>
      </c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135</v>
      </c>
      <c r="C143" s="210" t="str">
        <f aca="false">ByStudent!C143</f>
        <v>Benjamin</v>
      </c>
      <c r="D143" s="210"/>
      <c r="E143" s="210"/>
      <c r="F143" s="210"/>
      <c r="G143" s="210"/>
      <c r="H143" s="210"/>
      <c r="I143" s="210"/>
      <c r="J143" s="210"/>
      <c r="K143" s="210"/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214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138</v>
      </c>
      <c r="C144" s="210" t="str">
        <f aca="false">ByStudent!C144</f>
        <v>benjamin.mouchet@he-arc.ch</v>
      </c>
      <c r="D144" s="210"/>
      <c r="E144" s="210"/>
      <c r="F144" s="210"/>
      <c r="G144" s="210"/>
      <c r="H144" s="210"/>
      <c r="I144" s="210"/>
      <c r="J144" s="210"/>
      <c r="K144" s="210"/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214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141</v>
      </c>
      <c r="C145" s="211" t="n">
        <f aca="false">ByStudent!C145</f>
        <v>26</v>
      </c>
      <c r="D145" s="211"/>
      <c r="E145" s="211"/>
      <c r="F145" s="211"/>
      <c r="G145" s="211"/>
      <c r="H145" s="211"/>
      <c r="I145" s="211"/>
      <c r="J145" s="211"/>
      <c r="K145" s="211"/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214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144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132</v>
      </c>
      <c r="C148" s="209" t="str">
        <f aca="false">ByStudent!C148</f>
        <v> </v>
      </c>
      <c r="D148" s="209"/>
      <c r="E148" s="209"/>
      <c r="F148" s="209"/>
      <c r="G148" s="209"/>
      <c r="H148" s="209"/>
      <c r="I148" s="209"/>
      <c r="J148" s="209"/>
      <c r="K148" s="209"/>
      <c r="M148" s="181" t="n">
        <f aca="false">ByStudent!M148</f>
        <v>0</v>
      </c>
      <c r="N148" s="181"/>
      <c r="O148" s="181"/>
      <c r="P148" s="181"/>
      <c r="S148" s="162" t="n">
        <f aca="false">G127+IF(M148&lt;&gt;"",MIN(M148,0.5),0)</f>
        <v>1</v>
      </c>
      <c r="T148" s="162"/>
      <c r="U148" s="162"/>
      <c r="V148" s="162"/>
      <c r="Y148" s="182" t="n">
        <f aca="false">MAX(1,MIN(S148,6))</f>
        <v>1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214" t="n">
        <f aca="false">Y148-ByStudent!Y148</f>
        <v>-4.1</v>
      </c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135</v>
      </c>
      <c r="C149" s="210" t="str">
        <f aca="false">ByStudent!C149</f>
        <v> </v>
      </c>
      <c r="D149" s="210"/>
      <c r="E149" s="210"/>
      <c r="F149" s="210"/>
      <c r="G149" s="210"/>
      <c r="H149" s="210"/>
      <c r="I149" s="210"/>
      <c r="J149" s="210"/>
      <c r="K149" s="210"/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214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138</v>
      </c>
      <c r="C150" s="210" t="str">
        <f aca="false">ByStudent!C150</f>
        <v> </v>
      </c>
      <c r="D150" s="210"/>
      <c r="E150" s="210"/>
      <c r="F150" s="210"/>
      <c r="G150" s="210"/>
      <c r="H150" s="210"/>
      <c r="I150" s="210"/>
      <c r="J150" s="210"/>
      <c r="K150" s="210"/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214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141</v>
      </c>
      <c r="C151" s="211" t="str">
        <f aca="false">ByStudent!C151</f>
        <v> </v>
      </c>
      <c r="D151" s="211"/>
      <c r="E151" s="211"/>
      <c r="F151" s="211"/>
      <c r="G151" s="211"/>
      <c r="H151" s="211"/>
      <c r="I151" s="211"/>
      <c r="J151" s="211"/>
      <c r="K151" s="211"/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214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144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146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141</v>
      </c>
      <c r="C155" s="198" t="n">
        <f aca="false">ByStudent!C155</f>
        <v>27</v>
      </c>
      <c r="D155" s="198"/>
      <c r="E155" s="198"/>
      <c r="F155" s="198"/>
      <c r="G155" s="198"/>
      <c r="H155" s="198"/>
      <c r="I155" s="198"/>
      <c r="J155" s="198"/>
      <c r="K155" s="198"/>
      <c r="M155" s="38" t="s">
        <v>147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148</v>
      </c>
      <c r="O156" s="34"/>
      <c r="P156" s="93"/>
      <c r="Q156" s="21" t="s">
        <v>149</v>
      </c>
    </row>
    <row r="157" customFormat="false" ht="13.2" hidden="false" customHeight="false" outlineLevel="0" collapsed="false">
      <c r="M157" s="82"/>
      <c r="N157" s="34" t="s">
        <v>150</v>
      </c>
      <c r="O157" s="34"/>
      <c r="P157" s="93"/>
      <c r="Q157" s="21" t="s">
        <v>151</v>
      </c>
    </row>
    <row r="158" customFormat="false" ht="13.2" hidden="false" customHeight="false" outlineLevel="0" collapsed="false">
      <c r="M158" s="82" t="s">
        <v>152</v>
      </c>
      <c r="N158" s="34"/>
      <c r="O158" s="34"/>
      <c r="P158" s="93"/>
      <c r="Q158" s="21" t="s">
        <v>151</v>
      </c>
    </row>
    <row r="159" customFormat="false" ht="13.2" hidden="false" customHeight="false" outlineLevel="0" collapsed="false">
      <c r="M159" s="82" t="s">
        <v>153</v>
      </c>
      <c r="N159" s="34"/>
      <c r="O159" s="34"/>
      <c r="P159" s="93"/>
      <c r="Q159" s="21" t="s">
        <v>149</v>
      </c>
    </row>
    <row r="160" customFormat="false" ht="13.2" hidden="false" customHeight="false" outlineLevel="0" collapsed="false">
      <c r="M160" s="82" t="s">
        <v>154</v>
      </c>
      <c r="P160" s="96"/>
      <c r="Q160" s="21" t="s">
        <v>149</v>
      </c>
    </row>
    <row r="161" customFormat="false" ht="13.2" hidden="false" customHeight="false" outlineLevel="0" collapsed="false">
      <c r="M161" s="55" t="s">
        <v>155</v>
      </c>
      <c r="N161" s="132"/>
      <c r="O161" s="132"/>
      <c r="P161" s="199"/>
      <c r="Q161" s="21" t="s">
        <v>151</v>
      </c>
    </row>
  </sheetData>
  <mergeCells count="155">
    <mergeCell ref="G2:J2"/>
    <mergeCell ref="B3:E3"/>
    <mergeCell ref="G3:J3"/>
    <mergeCell ref="L3:L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C4:D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A117:AA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I136:AI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AI142:AI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AI148:AI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27">
    <cfRule type="cellIs" priority="3" operator="lessThan" aboveAverage="0" equalAverage="0" bottom="0" percent="0" rank="0" text="" dxfId="0">
      <formula>0</formula>
    </cfRule>
    <cfRule type="cellIs" priority="4" operator="greaterThan" aboveAverage="0" equalAverage="0" bottom="0" percent="0" rank="0" text="" dxfId="0">
      <formula>0</formula>
    </cfRule>
  </conditionalFormatting>
  <conditionalFormatting sqref="L136:L139 L142:L155 AF6:AF124 AG9:AG10 AG18:AG19 AG30:AG31 AG45:AG46 AG54:AG55 AG101:AG102 AG109:AG111">
    <cfRule type="containsText" priority="5" operator="containsText" aboveAverage="0" equalAverage="0" bottom="0" percent="0" rank="0" text="TODO" dxfId="0"/>
  </conditionalFormatting>
  <conditionalFormatting sqref="M140:P140">
    <cfRule type="cellIs" priority="6" operator="equal" aboveAverage="0" equalAverage="0" bottom="0" percent="0" rank="0" text="" dxfId="0">
      <formula>"max 0.5"</formula>
    </cfRule>
  </conditionalFormatting>
  <conditionalFormatting sqref="M146:P146">
    <cfRule type="cellIs" priority="7" operator="equal" aboveAverage="0" equalAverage="0" bottom="0" percent="0" rank="0" text="" dxfId="1">
      <formula>"max 0.5"</formula>
    </cfRule>
  </conditionalFormatting>
  <conditionalFormatting sqref="M152:P152">
    <cfRule type="cellIs" priority="8" operator="equal" aboveAverage="0" equalAverage="0" bottom="0" percent="0" rank="0" text="" dxfId="1">
      <formula>"max 0.5"</formula>
    </cfRule>
  </conditionalFormatting>
  <conditionalFormatting sqref="AC6:AC124">
    <cfRule type="cellIs" priority="9" operator="lessThan" aboveAverage="0" equalAverage="0" bottom="0" percent="0" rank="0" text="" dxfId="2">
      <formula>0</formula>
    </cfRule>
    <cfRule type="cellIs" priority="10" operator="greaterThan" aboveAverage="0" equalAverage="0" bottom="0" percent="0" rank="0" text="" dxfId="2">
      <formula>0</formula>
    </cfRule>
  </conditionalFormatting>
  <conditionalFormatting sqref="AF136:AQ136 AF142:AW142 AF148:AW148 AH137:AH139 AH143:AH145 AH149:AH151 AJ137:AR138 AJ139:AW139 AJ143:AW145 AJ149:AW151 AU136:AW138">
    <cfRule type="cellIs" priority="11" operator="equal" aboveAverage="0" equalAverage="0" bottom="0" percent="0" rank="0" text="" dxfId="2">
      <formula>"TODO ! Justifiier Bonus/malus !"</formula>
    </cfRule>
  </conditionalFormatting>
  <conditionalFormatting sqref="AG115:AG117">
    <cfRule type="containsText" priority="12" operator="containsText" aboveAverage="0" equalAverage="0" bottom="0" percent="0" rank="0" text="TODO" dxfId="2"/>
  </conditionalFormatting>
  <conditionalFormatting sqref="AI3:AI4">
    <cfRule type="cellIs" priority="13" operator="equal" aboveAverage="0" equalAverage="0" bottom="0" percent="0" rank="0" text="" dxfId="2">
      <formula>1</formula>
    </cfRule>
  </conditionalFormatting>
  <conditionalFormatting sqref="AI136:AI139 AI142:AI145 AI148:AI151">
    <cfRule type="cellIs" priority="14" operator="lessThan" aboveAverage="0" equalAverage="0" bottom="0" percent="0" rank="0" text="" dxfId="3">
      <formula>0</formula>
    </cfRule>
    <cfRule type="cellIs" priority="15" operator="greaterThan" aboveAverage="0" equalAverage="0" bottom="0" percent="0" rank="0" text="" dxfId="3">
      <formula>0</formula>
    </cfRule>
  </conditionalFormatting>
  <conditionalFormatting sqref="AK4:AT4 AR137">
    <cfRule type="cellIs" priority="16" operator="equal" aboveAverage="0" equalAverage="0" bottom="0" percent="0" rank="0" text="" dxfId="4">
      <formula>1</formula>
    </cfRule>
  </conditionalFormatting>
  <conditionalFormatting sqref="AV4:AW4">
    <cfRule type="cellIs" priority="17" operator="equal" aboveAverage="0" equalAverage="0" bottom="0" percent="0" rank="0" text="" dxfId="4">
      <formula>1</formula>
    </cfRule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LibreOffice/6.0.7.3$Linux_X86_64 LibreOffice_project/00m0$Build-3</Application>
  <Company>EICN-HES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description/>
  <dc:language>en-US</dc:language>
  <cp:lastModifiedBy/>
  <cp:lastPrinted>2002-07-10T14:35:10Z</cp:lastPrinted>
  <dcterms:modified xsi:type="dcterms:W3CDTF">2023-04-25T14:00:18Z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EICN-HES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