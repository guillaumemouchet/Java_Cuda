
<file path=[Content_Types].xml><?xml version="1.0" encoding="utf-8"?>
<Types xmlns="http://schemas.openxmlformats.org/package/2006/content-types">
  <Override PartName="/xl/drawings/drawing3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UserGuide" sheetId="1" state="visible" r:id="rId2"/>
    <sheet name="ByStudent" sheetId="2" state="visible" r:id="rId3"/>
    <sheet name="ByProf" sheetId="3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<sst xmlns="http://schemas.openxmlformats.org/spreadsheetml/2006/main" count="684" uniqueCount="164">
  <si>
    <t xml:space="preserve">Performance
Your best score
Benchmarking
Without rendering</t>
  </si>
  <si>
    <r>
      <rPr>
        <b val="true"/>
        <sz val="18"/>
        <color rgb="FF000000"/>
        <rFont val="Arial"/>
        <family val="0"/>
        <charset val="1"/>
      </rPr>
      <t xml:space="preserve">AutoEvaluation</t>
    </r>
    <r>
      <rPr>
        <b val="true"/>
        <sz val="72"/>
        <color rgb="FFFF00FF"/>
        <rFont val="Arial"/>
        <family val="0"/>
        <charset val="1"/>
      </rPr>
      <t xml:space="preserve"> </t>
    </r>
    <r>
      <rPr>
        <b val="true"/>
        <sz val="72"/>
        <color rgb="FFFF0000"/>
        <rFont val="Arial"/>
        <family val="0"/>
        <charset val="1"/>
      </rPr>
      <t xml:space="preserve">v60</t>
    </r>
  </si>
  <si>
    <t xml:space="preserve">Points</t>
  </si>
  <si>
    <t xml:space="preserve">Your
Speed up</t>
  </si>
  <si>
    <t xml:space="preserve">Poids(TP)</t>
  </si>
  <si>
    <t xml:space="preserve">Open</t>
  </si>
  <si>
    <t xml:space="preserve">Actif</t>
  </si>
  <si>
    <t xml:space="preserve">Score</t>
  </si>
  <si>
    <t xml:space="preserve">Corriger</t>
  </si>
  <si>
    <t xml:space="preserve">Delta Score</t>
  </si>
  <si>
    <t xml:space="preserve">Justificatifs
Obligatoires
(si TODO apparait)
(motivant une auto-évalutaion  2.5 ou 3)</t>
  </si>
  <si>
    <t xml:space="preserve">Calcul
Private</t>
  </si>
  <si>
    <t xml:space="preserve">Check</t>
  </si>
  <si>
    <t xml:space="preserve">Voir onglet userGuide</t>
  </si>
  <si>
    <t xml:space="preserve">score</t>
  </si>
  <si>
    <t xml:space="preserve">Poids Effectif</t>
  </si>
  <si>
    <t xml:space="preserve">#croix</t>
  </si>
  <si>
    <t xml:space="preserve">Mean</t>
  </si>
  <si>
    <t xml:space="preserve">Score (Ponderer)</t>
  </si>
  <si>
    <t xml:space="preserve">ScoreMax</t>
  </si>
  <si>
    <t xml:space="preserve">Rippling</t>
  </si>
  <si>
    <t xml:space="preserve">animation</t>
  </si>
  <si>
    <t xml:space="preserve">x</t>
  </si>
  <si>
    <t xml:space="preserve">ok</t>
  </si>
  <si>
    <t xml:space="preserve">[fps]</t>
  </si>
  <si>
    <t xml:space="preserve">RI</t>
  </si>
  <si>
    <t xml:space="preserve">Rippliing </t>
  </si>
  <si>
    <t xml:space="preserve">test</t>
  </si>
  <si>
    <t xml:space="preserve">[s]</t>
  </si>
  <si>
    <t xml:space="preserve">SpeedUP</t>
  </si>
  <si>
    <t xml:space="preserve">Mandelbrot
double / float / half</t>
  </si>
  <si>
    <t xml:space="preserve">Mandelbrot</t>
  </si>
  <si>
    <t xml:space="preserve">double</t>
  </si>
  <si>
    <t xml:space="preserve">Image
Animation</t>
  </si>
  <si>
    <t xml:space="preserve">MANDEL</t>
  </si>
  <si>
    <t xml:space="preserve">float</t>
  </si>
  <si>
    <t xml:space="preserve">half</t>
  </si>
  <si>
    <t xml:space="preserve">Mandelbrot 3D</t>
  </si>
  <si>
    <t xml:space="preserve">Test</t>
  </si>
  <si>
    <t xml:space="preserve">Raytracing 
GM / SM / CM </t>
  </si>
  <si>
    <t xml:space="preserve">RayTracing_GM</t>
  </si>
  <si>
    <t xml:space="preserve">RAY</t>
  </si>
  <si>
    <t xml:space="preserve">RayTracing_CM</t>
  </si>
  <si>
    <t xml:space="preserve">RayTracing_GM_2_SM</t>
  </si>
  <si>
    <t xml:space="preserve">RayTracing_CM_2_SM</t>
  </si>
  <si>
    <t xml:space="preserve">max</t>
  </si>
  <si>
    <t xml:space="preserve">Reduction 
Tools</t>
  </si>
  <si>
    <t xml:space="preserve">ReductionAdd</t>
  </si>
  <si>
    <t xml:space="preserve">int</t>
  </si>
  <si>
    <t xml:space="preserve">Use PI</t>
  </si>
  <si>
    <t xml:space="preserve">REDUCTION</t>
  </si>
  <si>
    <t xml:space="preserve">Use PII</t>
  </si>
  <si>
    <r>
      <rPr>
        <sz val="8"/>
        <color rgb="FFFF0000"/>
        <rFont val="Arial"/>
        <family val="0"/>
        <charset val="1"/>
      </rPr>
      <t xml:space="preserve">Test</t>
    </r>
    <r>
      <rPr>
        <sz val="8"/>
        <rFont val="Arial"/>
        <family val="0"/>
        <charset val="1"/>
      </rPr>
      <t xml:space="preserve"> PI</t>
    </r>
  </si>
  <si>
    <r>
      <rPr>
        <sz val="8"/>
        <color rgb="FFFF0000"/>
        <rFont val="Arial"/>
        <family val="0"/>
        <charset val="1"/>
      </rPr>
      <t xml:space="preserve">Test</t>
    </r>
    <r>
      <rPr>
        <sz val="8"/>
        <rFont val="Arial"/>
        <family val="0"/>
        <charset val="1"/>
      </rPr>
      <t xml:space="preserve"> PII</t>
    </r>
  </si>
  <si>
    <t xml:space="preserve">Reduction</t>
  </si>
  <si>
    <t xml:space="preserve">long</t>
  </si>
  <si>
    <t xml:space="preserve">Slice</t>
  </si>
  <si>
    <t xml:space="preserve">Slice_GM_host</t>
  </si>
  <si>
    <t xml:space="preserve">Use</t>
  </si>
  <si>
    <t xml:space="preserve">SLICE</t>
  </si>
  <si>
    <t xml:space="preserve">Slice_GM</t>
  </si>
  <si>
    <t xml:space="preserve">Slice_SM</t>
  </si>
  <si>
    <t xml:space="preserve">Montecarlo</t>
  </si>
  <si>
    <t xml:space="preserve">Montecarlo_Int</t>
  </si>
  <si>
    <t xml:space="preserve">[go/s]</t>
  </si>
  <si>
    <t xml:space="preserve">MONTECARLO</t>
  </si>
  <si>
    <t xml:space="preserve">MultiGPU</t>
  </si>
  <si>
    <t xml:space="preserve">stream</t>
  </si>
  <si>
    <t xml:space="preserve">Montecarlo_long</t>
  </si>
  <si>
    <t xml:space="preserve">Video</t>
  </si>
  <si>
    <t xml:space="preserve">Video GM</t>
  </si>
  <si>
    <t xml:space="preserve">VIDEO</t>
  </si>
  <si>
    <t xml:space="preserve">Video Texture GM</t>
  </si>
  <si>
    <t xml:space="preserve">Video Texture cuarray</t>
  </si>
  <si>
    <t xml:space="preserve">Video Surface</t>
  </si>
  <si>
    <t xml:space="preserve">VectorStream</t>
  </si>
  <si>
    <t xml:space="preserve">baseline</t>
  </si>
  <si>
    <t xml:space="preserve">Stream</t>
  </si>
  <si>
    <t xml:space="preserve">bi-stream</t>
  </si>
  <si>
    <t xml:space="preserve">tri-stream</t>
  </si>
  <si>
    <t xml:space="preserve">Warning : use même paramètre cuda code!</t>
  </si>
  <si>
    <t xml:space="preserve">Sans rendu</t>
  </si>
  <si>
    <t xml:space="preserve">SpeedUP Cuda</t>
  </si>
  <si>
    <t xml:space="preserve">Java</t>
  </si>
  <si>
    <t xml:space="preserve">Java </t>
  </si>
  <si>
    <t xml:space="preserve">sequentiel</t>
  </si>
  <si>
    <t xml:space="preserve">JAVA</t>
  </si>
  <si>
    <t xml:space="preserve">paralelle</t>
  </si>
  <si>
    <t xml:space="preserve">Raytracing</t>
  </si>
  <si>
    <t xml:space="preserve">v1</t>
  </si>
  <si>
    <t xml:space="preserve">v5</t>
  </si>
  <si>
    <t xml:space="preserve">All</t>
  </si>
  <si>
    <t xml:space="preserve">Demo Cube 3D</t>
  </si>
  <si>
    <t xml:space="preserve">fps 
raisonnable</t>
  </si>
  <si>
    <t xml:space="preserve">avec rendu</t>
  </si>
  <si>
    <t xml:space="preserve">ALL</t>
  </si>
  <si>
    <t xml:space="preserve">Demo Cube 3D video</t>
  </si>
  <si>
    <t xml:space="preserve">pas</t>
  </si>
  <si>
    <t xml:space="preserve">All Test ReductionTools</t>
  </si>
  <si>
    <t xml:space="preserve">durée
 raisonnable</t>
  </si>
  <si>
    <t xml:space="preserve">All Test Video</t>
  </si>
  <si>
    <t xml:space="preserve">All Test image</t>
  </si>
  <si>
    <t xml:space="preserve">All Test non image</t>
  </si>
  <si>
    <t xml:space="preserve">Managment</t>
  </si>
  <si>
    <t xml:space="preserve">Compilation Workspace</t>
  </si>
  <si>
    <t xml:space="preserve">comment</t>
  </si>
  <si>
    <t xml:space="preserve">MANA</t>
  </si>
  <si>
    <t xml:space="preserve">Delivrables (Forme, Contenu,Délais, ..,)</t>
  </si>
  <si>
    <t xml:space="preserve">Colonne Performance/SpeedUP</t>
  </si>
  <si>
    <t xml:space="preserve">Coherence performance</t>
  </si>
  <si>
    <t xml:space="preserve">Lisez la console de n'importe lequel de vos executables cuda</t>
  </si>
  <si>
    <t xml:space="preserve">Hardware</t>
  </si>
  <si>
    <t xml:space="preserve">GPU name</t>
  </si>
  <si>
    <t xml:space="preserve">Nvidia Geforce RTX 20180 Ti</t>
  </si>
  <si>
    <t xml:space="preserve">HARDWARE</t>
  </si>
  <si>
    <t xml:space="preserve">sm (capabilities, ex: 51 70 …)</t>
  </si>
  <si>
    <t xml:space="preserve">|GPU|</t>
  </si>
  <si>
    <t xml:space="preserve">|MP|</t>
  </si>
  <si>
    <t xml:space="preserve">|CORE|   by MP</t>
  </si>
  <si>
    <t xml:space="preserve">|GM| en GO</t>
  </si>
  <si>
    <t xml:space="preserve">|SM| en KO</t>
  </si>
  <si>
    <t xml:space="preserve">|CM| en KO</t>
  </si>
  <si>
    <t xml:space="preserve">Notation : |   |  = nombre de </t>
  </si>
  <si>
    <t xml:space="preserve">Score TP</t>
  </si>
  <si>
    <t xml:space="preserve"> / </t>
  </si>
  <si>
    <t xml:space="preserve">Score Effectif</t>
  </si>
  <si>
    <t xml:space="preserve">Score Max</t>
  </si>
  <si>
    <t xml:space="preserve">Identification (By Student)</t>
  </si>
  <si>
    <t xml:space="preserve">Bonus / Malus</t>
  </si>
  <si>
    <t xml:space="preserve">Note</t>
  </si>
  <si>
    <t xml:space="preserve">Bonus/Malus Commentaires</t>
  </si>
  <si>
    <t xml:space="preserve">max 0.5</t>
  </si>
  <si>
    <t xml:space="preserve">Final</t>
  </si>
  <si>
    <t xml:space="preserve">Estimation</t>
  </si>
  <si>
    <t xml:space="preserve">Translation</t>
  </si>
  <si>
    <t xml:space="preserve">Nom</t>
  </si>
  <si>
    <t xml:space="preserve">Mouchet</t>
  </si>
  <si>
    <t xml:space="preserve">Pente</t>
  </si>
  <si>
    <t xml:space="preserve">Prénom</t>
  </si>
  <si>
    <t xml:space="preserve">Guillaume</t>
  </si>
  <si>
    <t xml:space="preserve">[0,scoreMax] -&gt; [1,6]</t>
  </si>
  <si>
    <t xml:space="preserve">e-mail</t>
  </si>
  <si>
    <t xml:space="preserve">guillaume.mouchet@he-arc.ch</t>
  </si>
  <si>
    <t xml:space="preserve">pente = (6-1)/scoreMax</t>
  </si>
  <si>
    <t xml:space="preserve">Acompte Cuda</t>
  </si>
  <si>
    <t xml:space="preserve">Benjamin</t>
  </si>
  <si>
    <t xml:space="preserve">benjamin.mouchet@he-arc.ch</t>
  </si>
  <si>
    <t xml:space="preserve">Enlever todo si aucun étudiant</t>
  </si>
  <si>
    <t xml:space="preserve"> </t>
  </si>
  <si>
    <t xml:space="preserve">Rendu Unique</t>
  </si>
  <si>
    <t xml:space="preserve">Participation au sein du groupe:</t>
  </si>
  <si>
    <t xml:space="preserve"> - en retrait</t>
  </si>
  <si>
    <t xml:space="preserve"> -</t>
  </si>
  <si>
    <t xml:space="preserve"> - supérieur</t>
  </si>
  <si>
    <t xml:space="preserve"> +</t>
  </si>
  <si>
    <t xml:space="preserve">Intrevention constructive pendant cours</t>
  </si>
  <si>
    <t xml:space="preserve">Plagiat</t>
  </si>
  <si>
    <t xml:space="preserve">Sur auto -évaluation</t>
  </si>
  <si>
    <t xml:space="preserve">Passage projecteur</t>
  </si>
  <si>
    <r>
      <rPr>
        <b val="true"/>
        <sz val="18"/>
        <color rgb="FF000000"/>
        <rFont val="Arial"/>
        <family val="0"/>
        <charset val="1"/>
      </rPr>
      <t xml:space="preserve">Evaluation
</t>
    </r>
    <r>
      <rPr>
        <b val="true"/>
        <sz val="72"/>
        <color rgb="FFFF00FF"/>
        <rFont val="Arial"/>
        <family val="0"/>
        <charset val="1"/>
      </rPr>
      <t xml:space="preserve"> </t>
    </r>
    <r>
      <rPr>
        <b val="true"/>
        <sz val="72"/>
        <color rgb="FFFF0000"/>
        <rFont val="Arial"/>
        <family val="0"/>
        <charset val="1"/>
      </rPr>
      <t xml:space="preserve">ByProf</t>
    </r>
  </si>
  <si>
    <t xml:space="preserve">Justificatifs
Obligatoires
(motivant une auto-évalutaion  2.5 ou 3)</t>
  </si>
  <si>
    <t xml:space="preserve">Motecarlo</t>
  </si>
  <si>
    <t xml:space="preserve">RTX 2080 Ti</t>
  </si>
  <si>
    <t xml:space="preserve">Delta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</si>
</sst>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# ??/??"/>
    <numFmt numFmtId="166" formatCode="0"/>
    <numFmt numFmtId="167" formatCode="0.0"/>
    <numFmt numFmtId="168" formatCode="0.00"/>
    <numFmt numFmtId="169" formatCode="0.000"/>
  </numFmts>
  <fonts count="46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u val="single"/>
      <sz val="18"/>
      <color rgb="FF000000"/>
      <name val="Calibri"/>
      <family val="0"/>
    </font>
    <font>
      <sz val="18"/>
      <name val="Times New Roman"/>
      <family val="0"/>
    </font>
    <font>
      <sz val="11"/>
      <color rgb="FF000000"/>
      <name val="Calibri"/>
      <family val="0"/>
    </font>
    <font>
      <sz val="11"/>
      <name val="Times New Roman"/>
      <family val="0"/>
    </font>
    <font>
      <b val="true"/>
      <u val="single"/>
      <sz val="11"/>
      <color rgb="FF000000"/>
      <name val="Calibri"/>
      <family val="0"/>
    </font>
    <font>
      <sz val="12"/>
      <color rgb="FF000000"/>
      <name val="Calibri"/>
      <family val="0"/>
    </font>
    <font>
      <sz val="12"/>
      <name val="Times New Roman"/>
      <family val="0"/>
    </font>
    <font>
      <b val="true"/>
      <sz val="12"/>
      <color rgb="FF000000"/>
      <name val="Calibri"/>
      <family val="0"/>
    </font>
    <font>
      <b val="true"/>
      <u val="single"/>
      <sz val="12"/>
      <color rgb="FF000000"/>
      <name val="Calibri"/>
      <family val="0"/>
    </font>
    <font>
      <u val="single"/>
      <sz val="12"/>
      <color rgb="FF000000"/>
      <name val="Calibri"/>
      <family val="0"/>
    </font>
    <font>
      <i val="true"/>
      <sz val="12"/>
      <color rgb="FF000000"/>
      <name val="Calibri"/>
      <family val="0"/>
    </font>
    <font>
      <i val="true"/>
      <sz val="8"/>
      <name val="Arial"/>
      <family val="2"/>
      <charset val="1"/>
    </font>
    <font>
      <sz val="10"/>
      <name val="Arial"/>
      <family val="2"/>
      <charset val="1"/>
    </font>
    <font>
      <b val="true"/>
      <sz val="18"/>
      <color rgb="FF000000"/>
      <name val="Arial"/>
      <family val="0"/>
      <charset val="1"/>
    </font>
    <font>
      <b val="true"/>
      <sz val="72"/>
      <color rgb="FFFF00FF"/>
      <name val="Arial"/>
      <family val="0"/>
      <charset val="1"/>
    </font>
    <font>
      <b val="true"/>
      <sz val="72"/>
      <color rgb="FFFF0000"/>
      <name val="Arial"/>
      <family val="0"/>
      <charset val="1"/>
    </font>
    <font>
      <b val="true"/>
      <sz val="18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FF0000"/>
      <name val="Arial"/>
      <family val="2"/>
      <charset val="1"/>
    </font>
    <font>
      <b val="true"/>
      <i val="true"/>
      <sz val="8"/>
      <color rgb="FFFAC090"/>
      <name val="Arial"/>
      <family val="2"/>
      <charset val="1"/>
    </font>
    <font>
      <b val="true"/>
      <i val="true"/>
      <sz val="8"/>
      <color rgb="FF77933C"/>
      <name val="Arial"/>
      <family val="2"/>
      <charset val="1"/>
    </font>
    <font>
      <sz val="8"/>
      <color rgb="FFFF0000"/>
      <name val="Arial"/>
      <family val="2"/>
      <charset val="1"/>
    </font>
    <font>
      <b val="true"/>
      <i val="true"/>
      <sz val="8"/>
      <color rgb="FFB7DEE8"/>
      <name val="Arial"/>
      <family val="2"/>
      <charset val="1"/>
    </font>
    <font>
      <sz val="10"/>
      <color rgb="FFFAC090"/>
      <name val="Arial"/>
      <family val="2"/>
      <charset val="1"/>
    </font>
    <font>
      <i val="true"/>
      <sz val="10"/>
      <color rgb="FF000000"/>
      <name val="Arial"/>
      <family val="2"/>
      <charset val="1"/>
    </font>
    <font>
      <i val="true"/>
      <sz val="8"/>
      <color rgb="FF000000"/>
      <name val="Arial"/>
      <family val="2"/>
      <charset val="1"/>
    </font>
    <font>
      <sz val="8"/>
      <color rgb="FFFF0000"/>
      <name val="Arial"/>
      <family val="0"/>
      <charset val="1"/>
    </font>
    <font>
      <sz val="8"/>
      <name val="Arial"/>
      <family val="0"/>
      <charset val="1"/>
    </font>
    <font>
      <i val="true"/>
      <sz val="10"/>
      <name val="Arial"/>
      <family val="2"/>
      <charset val="1"/>
    </font>
    <font>
      <b val="true"/>
      <i val="true"/>
      <sz val="8"/>
      <color rgb="FFC3D69B"/>
      <name val="Arial"/>
      <family val="2"/>
      <charset val="1"/>
    </font>
    <font>
      <b val="true"/>
      <i val="true"/>
      <sz val="8"/>
      <color rgb="FF93CDDD"/>
      <name val="Arial"/>
      <family val="2"/>
      <charset val="1"/>
    </font>
    <font>
      <b val="true"/>
      <i val="true"/>
      <sz val="8"/>
      <color rgb="FFD7E4BD"/>
      <name val="Arial"/>
      <family val="2"/>
      <charset val="1"/>
    </font>
    <font>
      <b val="true"/>
      <i val="true"/>
      <sz val="8"/>
      <color rgb="FF95B3D7"/>
      <name val="Arial"/>
      <family val="2"/>
      <charset val="1"/>
    </font>
    <font>
      <b val="true"/>
      <i val="true"/>
      <sz val="8"/>
      <name val="Arial"/>
      <family val="2"/>
      <charset val="1"/>
    </font>
    <font>
      <sz val="9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b val="true"/>
      <sz val="18"/>
      <color rgb="FFFFFFFF"/>
      <name val="Arial"/>
      <family val="2"/>
      <charset val="1"/>
    </font>
    <font>
      <b val="true"/>
      <sz val="11"/>
      <color rgb="FFFFFFFF"/>
      <name val="Arial"/>
      <family val="2"/>
      <charset val="1"/>
    </font>
    <font>
      <b val="true"/>
      <sz val="36"/>
      <color rgb="FFFFFFFF"/>
      <name val="Arial"/>
      <family val="2"/>
      <charset val="1"/>
    </font>
    <font>
      <u val="single"/>
      <sz val="10"/>
      <color rgb="FF0000FF"/>
      <name val="Arial"/>
      <family val="0"/>
      <charset val="1"/>
    </font>
  </fonts>
  <fills count="15">
    <fill>
      <patternFill patternType="none"/>
    </fill>
    <fill>
      <patternFill patternType="gray125"/>
    </fill>
    <fill>
      <patternFill patternType="solid">
        <fgColor rgb="FFBFBFBF"/>
        <bgColor rgb="FFC0C0C0"/>
      </patternFill>
    </fill>
    <fill>
      <patternFill patternType="solid">
        <fgColor rgb="FFC0C0C0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000000"/>
        <bgColor rgb="FF003300"/>
      </patternFill>
    </fill>
    <fill>
      <patternFill patternType="solid">
        <fgColor rgb="FFFCD5B5"/>
        <bgColor rgb="FFFAC090"/>
      </patternFill>
    </fill>
    <fill>
      <patternFill patternType="solid">
        <fgColor rgb="FFD9D9D9"/>
        <bgColor rgb="FFD7E4BD"/>
      </patternFill>
    </fill>
    <fill>
      <patternFill patternType="solid">
        <fgColor rgb="FFFFFFFF"/>
        <bgColor rgb="FFEBF1DE"/>
      </patternFill>
    </fill>
    <fill>
      <patternFill patternType="solid">
        <fgColor rgb="FFEBF1DE"/>
        <bgColor rgb="FFDBEEF4"/>
      </patternFill>
    </fill>
    <fill>
      <patternFill patternType="solid">
        <fgColor rgb="FFC3D69B"/>
        <bgColor rgb="FFD7E4BD"/>
      </patternFill>
    </fill>
    <fill>
      <patternFill patternType="solid">
        <fgColor rgb="FFDBEEF4"/>
        <bgColor rgb="FFEBF1DE"/>
      </patternFill>
    </fill>
    <fill>
      <patternFill patternType="solid">
        <fgColor rgb="FFD7E4BD"/>
        <bgColor rgb="FFD9D9D9"/>
      </patternFill>
    </fill>
    <fill>
      <patternFill patternType="solid">
        <fgColor rgb="FF808080"/>
        <bgColor rgb="FF666699"/>
      </patternFill>
    </fill>
  </fills>
  <borders count="17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/>
      <bottom style="double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 style="double"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5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21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bottom" textRotation="90" wrapText="false" indent="0" shrinkToFit="false"/>
      <protection locked="true" hidden="false"/>
    </xf>
    <xf numFmtId="164" fontId="20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21" fillId="2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1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4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6" fillId="5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2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4" fillId="6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7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6" fillId="8" borderId="0" xfId="0" applyFont="true" applyBorder="true" applyAlignment="true" applyProtection="false">
      <alignment horizontal="center" vertical="center" textRotation="255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9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3" fillId="1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2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43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2" fillId="3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center" textRotation="43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1" fillId="0" borderId="9" xfId="0" applyFont="true" applyBorder="true" applyAlignment="true" applyProtection="false">
      <alignment horizontal="general" vertical="center" textRotation="43" wrapText="false" indent="0" shrinkToFit="false"/>
      <protection locked="true" hidden="false"/>
    </xf>
    <xf numFmtId="164" fontId="27" fillId="0" borderId="2" xfId="0" applyFont="true" applyBorder="true" applyAlignment="true" applyProtection="false">
      <alignment horizontal="center" vertical="center" textRotation="43" wrapText="false" indent="0" shrinkToFit="false"/>
      <protection locked="true" hidden="false"/>
    </xf>
    <xf numFmtId="164" fontId="21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4" fillId="6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7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0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9" xfId="0" applyFont="true" applyBorder="true" applyAlignment="true" applyProtection="false">
      <alignment horizontal="center" vertical="center" textRotation="43" wrapText="false" indent="0" shrinkToFit="false"/>
      <protection locked="true" hidden="false"/>
    </xf>
    <xf numFmtId="164" fontId="30" fillId="0" borderId="0" xfId="0" applyFont="true" applyBorder="false" applyAlignment="true" applyProtection="true">
      <alignment horizontal="right" vertical="bottom" textRotation="0" wrapText="false" indent="0" shrinkToFit="false"/>
      <protection locked="false" hidden="false"/>
    </xf>
    <xf numFmtId="166" fontId="3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3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2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2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3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35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37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6" fillId="1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38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39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255" wrapText="false" indent="0" shrinkToFit="false"/>
      <protection locked="true" hidden="false"/>
    </xf>
    <xf numFmtId="164" fontId="27" fillId="0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7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1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false">
      <alignment horizontal="general" vertical="center" textRotation="255" wrapText="false" indent="0" shrinkToFit="false"/>
      <protection locked="true" hidden="false"/>
    </xf>
    <xf numFmtId="166" fontId="3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16" fillId="7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16" fillId="7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12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6" fillId="12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8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5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21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4" fillId="6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0" fillId="8" borderId="0" xfId="0" applyFont="true" applyBorder="true" applyAlignment="true" applyProtection="false">
      <alignment horizontal="center" vertical="center" textRotation="255" wrapText="fals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40" fillId="0" borderId="0" xfId="0" applyFont="true" applyBorder="false" applyAlignment="true" applyProtection="false">
      <alignment horizontal="center" vertical="center" textRotation="255" wrapText="false" indent="0" shrinkToFit="false"/>
      <protection locked="true" hidden="false"/>
    </xf>
    <xf numFmtId="164" fontId="20" fillId="13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0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7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1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1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1" fillId="6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1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3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8" fontId="2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0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1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1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22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44" fillId="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6" fillId="0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22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5" fillId="0" borderId="9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2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14" borderId="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4" borderId="2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1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3" fillId="6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6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2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1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dxfs count="8">
    <dxf>
      <font>
        <name val="Arial"/>
        <charset val="1"/>
        <family val="0"/>
      </font>
    </dxf>
    <dxf>
      <font>
        <name val="Arial"/>
        <charset val="1"/>
        <family val="0"/>
      </font>
    </dxf>
    <dxf>
      <font>
        <name val="Arial"/>
        <charset val="1"/>
        <family val="0"/>
      </font>
    </dxf>
    <dxf>
      <font>
        <name val="Arial"/>
        <charset val="1"/>
        <family val="0"/>
      </font>
    </dxf>
    <dxf>
      <font>
        <name val="Arial"/>
        <charset val="1"/>
        <family val="0"/>
        <b val="0"/>
        <i val="0"/>
        <strike val="0"/>
        <outline val="0"/>
        <shadow val="0"/>
        <color rgb="FF0000FF"/>
        <u val="single"/>
      </font>
      <numFmt numFmtId="164" formatCode="General"/>
      <fill>
        <patternFill>
          <bgColor rgb="FFFFFFFF"/>
        </patternFill>
      </fill>
    </dxf>
    <dxf>
      <font>
        <name val="Arial"/>
        <charset val="1"/>
        <family val="0"/>
      </font>
    </dxf>
    <dxf>
      <font>
        <name val="Arial"/>
        <charset val="1"/>
        <family val="0"/>
        <b val="0"/>
        <i val="0"/>
        <strike val="0"/>
        <outline val="0"/>
        <shadow val="0"/>
        <color rgb="FF0000FF"/>
        <u val="single"/>
      </font>
      <numFmt numFmtId="164" formatCode="General"/>
      <fill>
        <patternFill>
          <bgColor rgb="FFFFFFFF"/>
        </patternFill>
      </fill>
    </dxf>
    <dxf>
      <font>
        <name val="Arial"/>
        <charset val="1"/>
        <family val="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77933C"/>
      <rgbColor rgb="FF800080"/>
      <rgbColor rgb="FF008080"/>
      <rgbColor rgb="FFC0C0C0"/>
      <rgbColor rgb="FF808080"/>
      <rgbColor rgb="FF95B3D7"/>
      <rgbColor rgb="FF993366"/>
      <rgbColor rgb="FFEBF1DE"/>
      <rgbColor rgb="FFDBEEF4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B7DEE8"/>
      <rgbColor rgb="FFD7E4BD"/>
      <rgbColor rgb="FFFCD5B5"/>
      <rgbColor rgb="FF93CDDD"/>
      <rgbColor rgb="FFFF99CC"/>
      <rgbColor rgb="FFBFBFBF"/>
      <rgbColor rgb="FFFAC090"/>
      <rgbColor rgb="FF3366FF"/>
      <rgbColor rgb="FF33CCCC"/>
      <rgbColor rgb="FF99CC00"/>
      <rgbColor rgb="FFFFC000"/>
      <rgbColor rgb="FFFF9900"/>
      <rgbColor rgb="FFFF6600"/>
      <rgbColor rgb="FF666699"/>
      <rgbColor rgb="FFC3D69B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20520</xdr:colOff>
      <xdr:row>2</xdr:row>
      <xdr:rowOff>48240</xdr:rowOff>
    </xdr:from>
    <xdr:to>
      <xdr:col>27</xdr:col>
      <xdr:colOff>177480</xdr:colOff>
      <xdr:row>60</xdr:row>
      <xdr:rowOff>91080</xdr:rowOff>
    </xdr:to>
    <xdr:sp>
      <xdr:nvSpPr>
        <xdr:cNvPr id="0" name="CustomShape 1"/>
        <xdr:cNvSpPr/>
      </xdr:nvSpPr>
      <xdr:spPr>
        <a:xfrm>
          <a:off x="678240" y="383400"/>
          <a:ext cx="8380080" cy="976608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800" spc="-1" strike="noStrike" u="sng">
              <a:solidFill>
                <a:srgbClr val="000000"/>
              </a:solidFill>
              <a:uFillTx/>
              <a:latin typeface="Calibri"/>
            </a:rPr>
            <a:t>User Guide</a:t>
          </a:r>
          <a:endParaRPr b="0" lang="en-US" sz="18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8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Mettez des croix (x)  dans les colonnes points. Utilisez une ou plusieurs croix (x) pour affiner votre score.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Ne laisser pas de croix dans la colonne 0, à moins que vous n'ayez rien fait.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Croix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3 ---&gt; TP fonctionel parfait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2 ---&gt; TP fonctionel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1 ---&gt; code non fonctionel, mais presque aboutit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0 ---&gt; sinon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Des combinaisons sont possible, une croix dans 1 et dans 2 par exemple!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Cases noires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Il  est interdit de mettre des croix dans les cases noires !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ce cas, soit on met une croix dans 3 si le TP est fonctionnel , soit dans 1 s’il ne l’est pas, 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ou éventuellement dans 1 et dans 3 !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Pas de case noire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les lignes à cases noires, vous n'avez pas besoin de justifier les 3 points,.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les lignes sans cases noires, oui, à moins que ce soit un test.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 et cases grises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2 points si ils passent, 3 points si en plus le test performamce passe.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Scores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Plusieurs croix (x) par ligne peuvent être placés pour indiquer des notes intermédiaires 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Définition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est </a:t>
          </a: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Open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si il est pris en compte pour l'évaluation.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est </a:t>
          </a: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Actif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si il fait partie des TP a réaliser.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Open non Actif permet  d'obtenir des bonus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Identification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N'oubliez pas de remplire les champs d'identification.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Qui êtes-vous?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Evaluation Tp non graphiques: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Soignez les affichages consoles pour valoriser les TP non graphique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Ce qui est affiché doit être pertinent et utile!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Virer les informations inutiles dont vous êtes responsables.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Fps /speed up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Indiquer les fps que vous obtenez avec votre meilleur dg/db en mode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benchmark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sans rendu graphique.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La colonne speedup se remplit toute seule.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Checker la cohérence inter-colonne et inter ligne!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Attention à l'unité!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720</xdr:colOff>
      <xdr:row>61</xdr:row>
      <xdr:rowOff>133920</xdr:rowOff>
    </xdr:from>
    <xdr:to>
      <xdr:col>19</xdr:col>
      <xdr:colOff>42840</xdr:colOff>
      <xdr:row>73</xdr:row>
      <xdr:rowOff>129240</xdr:rowOff>
    </xdr:to>
    <xdr:sp>
      <xdr:nvSpPr>
        <xdr:cNvPr id="1" name="CustomShape 1"/>
        <xdr:cNvSpPr/>
      </xdr:nvSpPr>
      <xdr:spPr>
        <a:xfrm>
          <a:off x="329400" y="10359720"/>
          <a:ext cx="5963040" cy="200700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Démo cube 3D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1/2 points par face du cube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Max Points = 6*1/2 = 3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Plusieurs croix sur la meme ligne possible pour tuner les points finement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Autant de TP différent que possible (Rippling,Mandelbrot, RaytracingGM,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RaytracingSM,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...)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Note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: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Profiter des TP zoomables pour remplire toutes les faces du cubes si nécessaire. Utilisez à cet effet différent domaine de math donnant des images intéressantes.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295200</xdr:colOff>
      <xdr:row>75</xdr:row>
      <xdr:rowOff>76320</xdr:rowOff>
    </xdr:from>
    <xdr:to>
      <xdr:col>17</xdr:col>
      <xdr:colOff>53280</xdr:colOff>
      <xdr:row>79</xdr:row>
      <xdr:rowOff>148680</xdr:rowOff>
    </xdr:to>
    <xdr:sp>
      <xdr:nvSpPr>
        <xdr:cNvPr id="2" name="CustomShape 1"/>
        <xdr:cNvSpPr/>
      </xdr:nvSpPr>
      <xdr:spPr>
        <a:xfrm>
          <a:off x="295200" y="12649320"/>
          <a:ext cx="5349600" cy="74268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Test_All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(I1) Mandelbrot float (on peut pas avoir double et half en même temps)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(I2) Montecarlo  long (on peut pas avoir en même temps les int et long)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29160</xdr:colOff>
      <xdr:row>96</xdr:row>
      <xdr:rowOff>104760</xdr:rowOff>
    </xdr:from>
    <xdr:to>
      <xdr:col>9</xdr:col>
      <xdr:colOff>214200</xdr:colOff>
      <xdr:row>100</xdr:row>
      <xdr:rowOff>53280</xdr:rowOff>
    </xdr:to>
    <xdr:sp>
      <xdr:nvSpPr>
        <xdr:cNvPr id="3" name="CustomShape 1"/>
        <xdr:cNvSpPr/>
      </xdr:nvSpPr>
      <xdr:spPr>
        <a:xfrm>
          <a:off x="357840" y="16198200"/>
          <a:ext cx="2816640" cy="61884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Bonus/Malus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Oublier pas de remplire le bonus/malus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10080</xdr:colOff>
      <xdr:row>81</xdr:row>
      <xdr:rowOff>85680</xdr:rowOff>
    </xdr:from>
    <xdr:to>
      <xdr:col>8</xdr:col>
      <xdr:colOff>325080</xdr:colOff>
      <xdr:row>85</xdr:row>
      <xdr:rowOff>129240</xdr:rowOff>
    </xdr:to>
    <xdr:sp>
      <xdr:nvSpPr>
        <xdr:cNvPr id="4" name="CustomShape 1"/>
        <xdr:cNvSpPr/>
      </xdr:nvSpPr>
      <xdr:spPr>
        <a:xfrm>
          <a:off x="338760" y="13664520"/>
          <a:ext cx="2617560" cy="71388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Workspace_Compilation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wcompileGCC.sh (root of workspace)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succes (compilation et linkage)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295200</xdr:colOff>
      <xdr:row>87</xdr:row>
      <xdr:rowOff>76320</xdr:rowOff>
    </xdr:from>
    <xdr:to>
      <xdr:col>28</xdr:col>
      <xdr:colOff>166680</xdr:colOff>
      <xdr:row>94</xdr:row>
      <xdr:rowOff>129600</xdr:rowOff>
    </xdr:to>
    <xdr:sp>
      <xdr:nvSpPr>
        <xdr:cNvPr id="5" name="CustomShape 1"/>
        <xdr:cNvSpPr/>
      </xdr:nvSpPr>
      <xdr:spPr>
        <a:xfrm>
          <a:off x="295200" y="14661000"/>
          <a:ext cx="9081360" cy="122652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Management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	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1)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Compilation Workspace : lancer le script à la racine du workspace : tout doi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t compiler!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2) Délivrable : Remis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en temps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et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en bonne et due forme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3) Colonne Preformance : remplie avec des valeurs qui tiennent la route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4) Cohérence performance : Certaines implémentations doivnet aller plus vite que d'autres, vus les efforts consentits, est-ce le cas?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95400</xdr:colOff>
      <xdr:row>2</xdr:row>
      <xdr:rowOff>506160</xdr:rowOff>
    </xdr:from>
    <xdr:to>
      <xdr:col>12</xdr:col>
      <xdr:colOff>453240</xdr:colOff>
      <xdr:row>2</xdr:row>
      <xdr:rowOff>1501200</xdr:rowOff>
    </xdr:to>
    <xdr:sp>
      <xdr:nvSpPr>
        <xdr:cNvPr id="6" name="CustomShape 1"/>
        <xdr:cNvSpPr/>
      </xdr:nvSpPr>
      <xdr:spPr>
        <a:xfrm>
          <a:off x="5389920" y="816480"/>
          <a:ext cx="1486800" cy="99504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3 poinst ssi le test performance réussi: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cellule bleue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9</xdr:col>
      <xdr:colOff>167400</xdr:colOff>
      <xdr:row>2</xdr:row>
      <xdr:rowOff>1506240</xdr:rowOff>
    </xdr:from>
    <xdr:to>
      <xdr:col>11</xdr:col>
      <xdr:colOff>325080</xdr:colOff>
      <xdr:row>6</xdr:row>
      <xdr:rowOff>110520</xdr:rowOff>
    </xdr:to>
    <xdr:sp>
      <xdr:nvSpPr>
        <xdr:cNvPr id="7" name="CustomShape 1"/>
        <xdr:cNvSpPr/>
      </xdr:nvSpPr>
      <xdr:spPr>
        <a:xfrm flipH="1">
          <a:off x="5205240" y="1816560"/>
          <a:ext cx="915840" cy="81396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80280</xdr:colOff>
      <xdr:row>2</xdr:row>
      <xdr:rowOff>1506240</xdr:rowOff>
    </xdr:from>
    <xdr:to>
      <xdr:col>11</xdr:col>
      <xdr:colOff>324720</xdr:colOff>
      <xdr:row>15</xdr:row>
      <xdr:rowOff>33840</xdr:rowOff>
    </xdr:to>
    <xdr:sp>
      <xdr:nvSpPr>
        <xdr:cNvPr id="8" name="CustomShape 1"/>
        <xdr:cNvSpPr/>
      </xdr:nvSpPr>
      <xdr:spPr>
        <a:xfrm flipH="1">
          <a:off x="5374800" y="1816560"/>
          <a:ext cx="745920" cy="222156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95400</xdr:colOff>
      <xdr:row>2</xdr:row>
      <xdr:rowOff>610200</xdr:rowOff>
    </xdr:from>
    <xdr:to>
      <xdr:col>13</xdr:col>
      <xdr:colOff>434520</xdr:colOff>
      <xdr:row>2</xdr:row>
      <xdr:rowOff>1357920</xdr:rowOff>
    </xdr:to>
    <xdr:sp>
      <xdr:nvSpPr>
        <xdr:cNvPr id="9" name="CustomShape 1"/>
        <xdr:cNvSpPr/>
      </xdr:nvSpPr>
      <xdr:spPr>
        <a:xfrm>
          <a:off x="5389920" y="920520"/>
          <a:ext cx="1969560" cy="74772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3 poinst ssi le test performance réussi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9</xdr:col>
      <xdr:colOff>166320</xdr:colOff>
      <xdr:row>2</xdr:row>
      <xdr:rowOff>1362960</xdr:rowOff>
    </xdr:from>
    <xdr:to>
      <xdr:col>12</xdr:col>
      <xdr:colOff>19080</xdr:colOff>
      <xdr:row>6</xdr:row>
      <xdr:rowOff>110520</xdr:rowOff>
    </xdr:to>
    <xdr:sp>
      <xdr:nvSpPr>
        <xdr:cNvPr id="10" name="CustomShape 1"/>
        <xdr:cNvSpPr/>
      </xdr:nvSpPr>
      <xdr:spPr>
        <a:xfrm flipH="1">
          <a:off x="5204160" y="1673280"/>
          <a:ext cx="1175400" cy="95724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79920</xdr:colOff>
      <xdr:row>2</xdr:row>
      <xdr:rowOff>1362960</xdr:rowOff>
    </xdr:from>
    <xdr:to>
      <xdr:col>12</xdr:col>
      <xdr:colOff>18720</xdr:colOff>
      <xdr:row>15</xdr:row>
      <xdr:rowOff>24120</xdr:rowOff>
    </xdr:to>
    <xdr:sp>
      <xdr:nvSpPr>
        <xdr:cNvPr id="11" name="CustomShape 1"/>
        <xdr:cNvSpPr/>
      </xdr:nvSpPr>
      <xdr:spPr>
        <a:xfrm flipH="1">
          <a:off x="5374440" y="1673280"/>
          <a:ext cx="1004760" cy="237024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mailto:guillaume.mouchet@he-arc.ch" TargetMode="External"/><Relationship Id="rId2" Type="http://schemas.openxmlformats.org/officeDocument/2006/relationships/hyperlink" Target="mailto:benjamin.mouchet@he-arc.ch" TargetMode="External"/><Relationship Id="rId3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J105" activeCellId="0" sqref="J105"/>
    </sheetView>
  </sheetViews>
  <sheetFormatPr defaultRowHeight="13.2" zeroHeight="false" outlineLevelRow="0" outlineLevelCol="0"/>
  <cols>
    <col collapsed="false" customWidth="true" hidden="false" outlineLevel="0" max="48" min="1" style="0" width="4.66"/>
    <col collapsed="false" customWidth="true" hidden="false" outlineLevel="0" max="1025" min="49" style="0" width="11.45"/>
  </cols>
  <sheetData>
    <row r="102" customFormat="false" ht="15.6" hidden="false" customHeight="false" outlineLevel="0" collapsed="false"/>
    <row r="103" customFormat="false" ht="14.4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AX161"/>
  <sheetViews>
    <sheetView showFormulas="false" showGridLines="true" showRowColHeaders="true" showZeros="true" rightToLeft="false" tabSelected="true" showOutlineSymbols="true" defaultGridColor="true" view="normal" topLeftCell="K98" colorId="64" zoomScale="100" zoomScaleNormal="100" zoomScalePageLayoutView="100" workbookViewId="0">
      <selection pane="topLeft" activeCell="N122" activeCellId="0" sqref="N122"/>
    </sheetView>
  </sheetViews>
  <sheetFormatPr defaultRowHeight="13.2" zeroHeight="false" outlineLevelRow="2" outlineLevelCol="1"/>
  <cols>
    <col collapsed="false" customWidth="true" hidden="false" outlineLevel="0" max="1" min="1" style="0" width="3.98"/>
    <col collapsed="false" customWidth="true" hidden="false" outlineLevel="0" max="2" min="2" style="0" width="20.64"/>
    <col collapsed="false" customWidth="true" hidden="false" outlineLevel="0" max="3" min="3" style="0" width="12.44"/>
    <col collapsed="false" customWidth="true" hidden="false" outlineLevel="0" max="4" min="4" style="0" width="9"/>
    <col collapsed="false" customWidth="true" hidden="false" outlineLevel="0" max="5" min="5" style="0" width="9.56"/>
    <col collapsed="false" customWidth="true" hidden="false" outlineLevel="0" max="6" min="6" style="0" width="4.89"/>
    <col collapsed="false" customWidth="true" hidden="false" outlineLevel="0" max="10" min="7" style="0" width="3.64"/>
    <col collapsed="false" customWidth="true" hidden="false" outlineLevel="0" max="11" min="11" style="0" width="7.11"/>
    <col collapsed="false" customWidth="true" hidden="false" outlineLevel="0" max="12" min="12" style="0" width="8.89"/>
    <col collapsed="false" customWidth="true" hidden="false" outlineLevel="0" max="13" min="13" style="0" width="8"/>
    <col collapsed="false" customWidth="true" hidden="false" outlineLevel="0" max="14" min="14" style="0" width="8.89"/>
    <col collapsed="false" customWidth="true" hidden="false" outlineLevel="0" max="15" min="15" style="0" width="5.01"/>
    <col collapsed="false" customWidth="true" hidden="false" outlineLevel="0" max="16" min="16" style="0" width="11.11"/>
    <col collapsed="false" customWidth="true" hidden="false" outlineLevel="0" max="17" min="17" style="0" width="3.64"/>
    <col collapsed="false" customWidth="true" hidden="false" outlineLevel="0" max="19" min="18" style="0" width="5.1"/>
    <col collapsed="false" customWidth="true" hidden="false" outlineLevel="0" max="21" min="20" style="0" width="3.98"/>
    <col collapsed="false" customWidth="true" hidden="false" outlineLevel="0" max="22" min="22" style="0" width="4.66"/>
    <col collapsed="false" customWidth="true" hidden="false" outlineLevel="0" max="23" min="23" style="0" width="5.66"/>
    <col collapsed="false" customWidth="true" hidden="false" outlineLevel="0" max="24" min="24" style="0" width="2.12"/>
    <col collapsed="false" customWidth="true" hidden="false" outlineLevel="0" max="25" min="25" style="0" width="5.1"/>
    <col collapsed="false" customWidth="true" hidden="false" outlineLevel="0" max="26" min="26" style="0" width="2.99"/>
    <col collapsed="false" customWidth="true" hidden="false" outlineLevel="0" max="27" min="27" style="0" width="4.1"/>
    <col collapsed="false" customWidth="true" hidden="false" outlineLevel="0" max="28" min="28" style="0" width="2.99"/>
    <col collapsed="false" customWidth="true" hidden="false" outlineLevel="0" max="29" min="29" style="0" width="5.1"/>
    <col collapsed="false" customWidth="true" hidden="false" outlineLevel="0" max="30" min="30" style="0" width="3.89"/>
    <col collapsed="false" customWidth="true" hidden="false" outlineLevel="0" max="31" min="31" style="0" width="68.13"/>
    <col collapsed="false" customWidth="true" hidden="false" outlineLevel="0" max="32" min="32" style="0" width="7.11"/>
    <col collapsed="false" customWidth="true" hidden="false" outlineLevel="0" max="33" min="33" style="0" width="3.11"/>
    <col collapsed="false" customWidth="true" hidden="true" outlineLevel="1" max="34" min="34" style="0" width="5.66"/>
    <col collapsed="false" customWidth="true" hidden="true" outlineLevel="1" max="35" min="35" style="0" width="11.89"/>
    <col collapsed="false" customWidth="true" hidden="true" outlineLevel="1" max="36" min="36" style="0" width="4.1"/>
    <col collapsed="false" customWidth="true" hidden="true" outlineLevel="1" max="37" min="37" style="0" width="3.89"/>
    <col collapsed="false" customWidth="true" hidden="true" outlineLevel="1" max="41" min="38" style="0" width="3.64"/>
    <col collapsed="false" customWidth="true" hidden="true" outlineLevel="1" max="42" min="42" style="0" width="5.43"/>
    <col collapsed="false" customWidth="true" hidden="true" outlineLevel="1" max="43" min="43" style="0" width="5.55"/>
    <col collapsed="false" customWidth="true" hidden="true" outlineLevel="1" max="44" min="44" style="0" width="15"/>
    <col collapsed="false" customWidth="true" hidden="true" outlineLevel="1" max="45" min="45" style="0" width="5.43"/>
    <col collapsed="false" customWidth="true" hidden="true" outlineLevel="1" max="46" min="46" style="0" width="11.99"/>
    <col collapsed="false" customWidth="true" hidden="true" outlineLevel="1" max="47" min="47" style="0" width="11.45"/>
    <col collapsed="false" customWidth="true" hidden="true" outlineLevel="1" max="48" min="48" style="0" width="15.11"/>
    <col collapsed="false" customWidth="true" hidden="false" outlineLevel="1" max="49" min="49" style="0" width="9.44"/>
    <col collapsed="false" customWidth="true" hidden="false" outlineLevel="0" max="1025" min="50" style="0" width="11.45"/>
  </cols>
  <sheetData>
    <row r="2" customFormat="false" ht="11.25" hidden="false" customHeight="true" outlineLevel="0" collapsed="false">
      <c r="G2" s="1"/>
      <c r="H2" s="1"/>
      <c r="I2" s="1"/>
      <c r="J2" s="1"/>
      <c r="K2" s="2"/>
      <c r="L2" s="3"/>
      <c r="N2" s="4" t="s">
        <v>0</v>
      </c>
      <c r="O2" s="4"/>
      <c r="P2" s="4"/>
      <c r="Q2" s="2"/>
      <c r="W2" s="3"/>
      <c r="X2" s="3"/>
      <c r="AB2" s="3"/>
      <c r="AC2" s="3"/>
      <c r="AK2" s="5"/>
      <c r="AL2" s="5"/>
      <c r="AM2" s="5"/>
      <c r="AN2" s="5"/>
      <c r="AO2" s="5"/>
      <c r="AP2" s="5"/>
      <c r="AQ2" s="5"/>
      <c r="AR2" s="5"/>
      <c r="AS2" s="5"/>
      <c r="AT2" s="5"/>
    </row>
    <row r="3" customFormat="false" ht="126.75" hidden="false" customHeight="true" outlineLevel="0" collapsed="false">
      <c r="B3" s="6" t="s">
        <v>1</v>
      </c>
      <c r="C3" s="6"/>
      <c r="D3" s="6"/>
      <c r="E3" s="6"/>
      <c r="F3" s="7"/>
      <c r="G3" s="8" t="s">
        <v>2</v>
      </c>
      <c r="H3" s="8"/>
      <c r="I3" s="8"/>
      <c r="J3" s="8"/>
      <c r="K3" s="9"/>
      <c r="L3" s="10"/>
      <c r="M3" s="2"/>
      <c r="N3" s="11" t="s">
        <v>0</v>
      </c>
      <c r="O3" s="11"/>
      <c r="P3" s="11" t="s">
        <v>3</v>
      </c>
      <c r="Q3" s="9"/>
      <c r="R3" s="12" t="s">
        <v>4</v>
      </c>
      <c r="S3" s="12"/>
      <c r="U3" s="12" t="s">
        <v>5</v>
      </c>
      <c r="V3" s="12" t="s">
        <v>6</v>
      </c>
      <c r="W3" s="3"/>
      <c r="X3" s="3"/>
      <c r="Y3" s="12" t="s">
        <v>7</v>
      </c>
      <c r="Z3" s="13"/>
      <c r="AA3" s="14" t="s">
        <v>8</v>
      </c>
      <c r="AB3" s="15"/>
      <c r="AC3" s="10" t="s">
        <v>9</v>
      </c>
      <c r="AD3" s="13"/>
      <c r="AE3" s="16" t="s">
        <v>10</v>
      </c>
      <c r="AF3" s="17"/>
      <c r="AG3" s="17"/>
      <c r="AH3" s="13"/>
      <c r="AI3" s="18" t="s">
        <v>11</v>
      </c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V3" s="19" t="s">
        <v>12</v>
      </c>
      <c r="AW3" s="19"/>
    </row>
    <row r="4" customFormat="false" ht="21.75" hidden="false" customHeight="true" outlineLevel="0" collapsed="false">
      <c r="B4" s="20" t="s">
        <v>13</v>
      </c>
      <c r="C4" s="20"/>
      <c r="D4" s="20"/>
      <c r="E4" s="20"/>
      <c r="F4" s="21"/>
      <c r="G4" s="22" t="n">
        <v>0</v>
      </c>
      <c r="H4" s="22" t="n">
        <v>1</v>
      </c>
      <c r="I4" s="22" t="n">
        <v>2</v>
      </c>
      <c r="J4" s="22" t="n">
        <v>3</v>
      </c>
      <c r="K4" s="23"/>
      <c r="L4" s="10"/>
      <c r="M4" s="24"/>
      <c r="N4" s="25"/>
      <c r="O4" s="25"/>
      <c r="P4" s="11"/>
      <c r="Q4" s="23"/>
      <c r="R4" s="12"/>
      <c r="S4" s="12"/>
      <c r="U4" s="12" t="s">
        <v>6</v>
      </c>
      <c r="V4" s="12" t="s">
        <v>6</v>
      </c>
      <c r="W4" s="26"/>
      <c r="Y4" s="12" t="s">
        <v>14</v>
      </c>
      <c r="Z4" s="27"/>
      <c r="AA4" s="14"/>
      <c r="AB4" s="15"/>
      <c r="AC4" s="10"/>
      <c r="AD4" s="27"/>
      <c r="AE4" s="16"/>
      <c r="AF4" s="28"/>
      <c r="AG4" s="28"/>
      <c r="AH4" s="27"/>
      <c r="AI4" s="29" t="s">
        <v>15</v>
      </c>
      <c r="AJ4" s="27"/>
      <c r="AK4" s="30" t="n">
        <v>0</v>
      </c>
      <c r="AL4" s="30" t="n">
        <v>1</v>
      </c>
      <c r="AM4" s="30" t="n">
        <v>2</v>
      </c>
      <c r="AN4" s="30" t="n">
        <v>3</v>
      </c>
      <c r="AO4" s="2"/>
      <c r="AP4" s="29" t="s">
        <v>16</v>
      </c>
      <c r="AQ4" s="29" t="s">
        <v>17</v>
      </c>
      <c r="AR4" s="31" t="s">
        <v>18</v>
      </c>
      <c r="AS4" s="32"/>
      <c r="AT4" s="33" t="s">
        <v>19</v>
      </c>
      <c r="AV4" s="31" t="s">
        <v>18</v>
      </c>
      <c r="AW4" s="33" t="s">
        <v>19</v>
      </c>
    </row>
    <row r="5" customFormat="false" ht="12.75" hidden="false" customHeight="true" outlineLevel="0" collapsed="false">
      <c r="C5" s="34"/>
      <c r="D5" s="34"/>
      <c r="E5" s="34"/>
      <c r="F5" s="34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6"/>
      <c r="S5" s="36"/>
      <c r="V5" s="2"/>
      <c r="W5" s="26"/>
      <c r="X5" s="26"/>
      <c r="AH5" s="2"/>
      <c r="AI5" s="2"/>
      <c r="AJ5" s="2"/>
    </row>
    <row r="6" customFormat="false" ht="12.75" hidden="false" customHeight="true" outlineLevel="0" collapsed="false">
      <c r="B6" s="37" t="s">
        <v>20</v>
      </c>
      <c r="C6" s="38" t="s">
        <v>20</v>
      </c>
      <c r="D6" s="39"/>
      <c r="E6" s="40" t="s">
        <v>21</v>
      </c>
      <c r="F6" s="34"/>
      <c r="G6" s="41"/>
      <c r="H6" s="41"/>
      <c r="I6" s="42"/>
      <c r="J6" s="41" t="s">
        <v>22</v>
      </c>
      <c r="K6" s="43" t="s">
        <v>23</v>
      </c>
      <c r="L6" s="43"/>
      <c r="M6" s="44" t="str">
        <f aca="false">IF(AND(U6=1,N6="",AR6&gt;0,AR6&lt;&gt;""),"TODO !","")</f>
        <v/>
      </c>
      <c r="N6" s="45" t="n">
        <v>173577</v>
      </c>
      <c r="O6" s="46" t="s">
        <v>24</v>
      </c>
      <c r="Q6" s="43"/>
      <c r="R6" s="47" t="n">
        <v>4</v>
      </c>
      <c r="S6" s="8" t="n">
        <f aca="false">SUM(R6:R7)</f>
        <v>8</v>
      </c>
      <c r="U6" s="48" t="n">
        <v>1</v>
      </c>
      <c r="V6" s="48" t="n">
        <v>1</v>
      </c>
      <c r="W6" s="26" t="str">
        <f aca="false">IF(AND(U6=1,V6=0),"Bonus","")</f>
        <v/>
      </c>
      <c r="X6" s="26"/>
      <c r="Y6" s="49" t="n">
        <f aca="false">IF(U6=1,AR6,"")</f>
        <v>12</v>
      </c>
      <c r="Z6" s="50"/>
      <c r="AA6" s="51"/>
      <c r="AB6" s="50"/>
      <c r="AC6" s="50"/>
      <c r="AD6" s="50"/>
      <c r="AE6" s="52"/>
      <c r="AG6" s="53" t="s">
        <v>25</v>
      </c>
      <c r="AH6" s="2"/>
      <c r="AI6" s="48" t="n">
        <f aca="false">U6*V6*R6</f>
        <v>4</v>
      </c>
      <c r="AJ6" s="2"/>
      <c r="AK6" s="48" t="str">
        <f aca="false">IF(G6="x",AK$4,"")</f>
        <v/>
      </c>
      <c r="AL6" s="48" t="str">
        <f aca="false">IF(H6="x",AL$4,"")</f>
        <v/>
      </c>
      <c r="AM6" s="48" t="str">
        <f aca="false">IF(I6="x",AM$4,"")</f>
        <v/>
      </c>
      <c r="AN6" s="48" t="n">
        <f aca="false">IF(J6="x",AN$4,"")</f>
        <v>3</v>
      </c>
      <c r="AO6" s="2"/>
      <c r="AP6" s="48" t="n">
        <f aca="false">COUNTIF(G6:J6,"=x")</f>
        <v>1</v>
      </c>
      <c r="AQ6" s="48" t="n">
        <f aca="false">IF(AP6&gt;0,AVERAGE(AK6:AN6),"")</f>
        <v>3</v>
      </c>
      <c r="AR6" s="48" t="n">
        <f aca="false">IF(AND(AP6&gt;0,U6=1),AQ6*R6,"")</f>
        <v>12</v>
      </c>
      <c r="AS6" s="2"/>
      <c r="AT6" s="48" t="n">
        <f aca="false">AI6*3</f>
        <v>12</v>
      </c>
      <c r="AV6" s="54" t="n">
        <f aca="false">SUM(AR6:AR7)</f>
        <v>24</v>
      </c>
      <c r="AW6" s="54" t="n">
        <f aca="false">SUM(AT6:AT7)</f>
        <v>24</v>
      </c>
    </row>
    <row r="7" customFormat="false" ht="12.75" hidden="false" customHeight="true" outlineLevel="0" collapsed="false">
      <c r="B7" s="37"/>
      <c r="C7" s="55" t="s">
        <v>26</v>
      </c>
      <c r="D7" s="56"/>
      <c r="E7" s="57" t="s">
        <v>27</v>
      </c>
      <c r="F7" s="34"/>
      <c r="G7" s="41"/>
      <c r="H7" s="41"/>
      <c r="I7" s="58"/>
      <c r="J7" s="59" t="s">
        <v>22</v>
      </c>
      <c r="K7" s="43" t="s">
        <v>23</v>
      </c>
      <c r="L7" s="43"/>
      <c r="M7" s="44"/>
      <c r="N7" s="60" t="n">
        <v>9</v>
      </c>
      <c r="O7" s="61" t="s">
        <v>28</v>
      </c>
      <c r="P7" s="26"/>
      <c r="Q7" s="43"/>
      <c r="R7" s="47" t="n">
        <v>4</v>
      </c>
      <c r="S7" s="8"/>
      <c r="U7" s="48" t="n">
        <v>1</v>
      </c>
      <c r="V7" s="48" t="n">
        <v>1</v>
      </c>
      <c r="W7" s="26" t="str">
        <f aca="false">IF(AND(U7=1,V7=0),"Bonus","")</f>
        <v/>
      </c>
      <c r="X7" s="26"/>
      <c r="Y7" s="49" t="n">
        <f aca="false">IF(U7=1,AR7,"")</f>
        <v>12</v>
      </c>
      <c r="Z7" s="50"/>
      <c r="AA7" s="51"/>
      <c r="AB7" s="50"/>
      <c r="AC7" s="50"/>
      <c r="AD7" s="50"/>
      <c r="AE7" s="52"/>
      <c r="AG7" s="53"/>
      <c r="AH7" s="2"/>
      <c r="AI7" s="48" t="n">
        <f aca="false">U7*V7*R7</f>
        <v>4</v>
      </c>
      <c r="AJ7" s="2"/>
      <c r="AK7" s="48" t="str">
        <f aca="false">IF(G7="x",AK$4,"")</f>
        <v/>
      </c>
      <c r="AL7" s="48" t="str">
        <f aca="false">IF(H7="x",AL$4,"")</f>
        <v/>
      </c>
      <c r="AM7" s="48" t="str">
        <f aca="false">IF(I7="x",AM$4,"")</f>
        <v/>
      </c>
      <c r="AN7" s="48" t="n">
        <f aca="false">IF(J7="x",AN$4,"")</f>
        <v>3</v>
      </c>
      <c r="AO7" s="2"/>
      <c r="AP7" s="48" t="n">
        <f aca="false">COUNTIF(G7:J7,"=x")</f>
        <v>1</v>
      </c>
      <c r="AQ7" s="48" t="n">
        <f aca="false">IF(AP7&gt;0,AVERAGE(AK7:AN7),"")</f>
        <v>3</v>
      </c>
      <c r="AR7" s="48" t="n">
        <f aca="false">IF(AND(AP7&gt;0,U7=1),AQ7*R7,"")</f>
        <v>12</v>
      </c>
      <c r="AS7" s="2"/>
      <c r="AT7" s="48" t="n">
        <f aca="false">AI7*3</f>
        <v>12</v>
      </c>
      <c r="AV7" s="54"/>
      <c r="AW7" s="54"/>
    </row>
    <row r="8" customFormat="false" ht="12.75" hidden="false" customHeight="true" outlineLevel="0" collapsed="false">
      <c r="B8" s="62"/>
      <c r="C8" s="34"/>
      <c r="D8" s="34"/>
      <c r="E8" s="5"/>
      <c r="F8" s="34"/>
      <c r="G8" s="63"/>
      <c r="H8" s="63"/>
      <c r="I8" s="63"/>
      <c r="J8" s="63"/>
      <c r="K8" s="43"/>
      <c r="L8" s="43"/>
      <c r="M8" s="44"/>
      <c r="N8" s="64"/>
      <c r="O8" s="46"/>
      <c r="P8" s="26"/>
      <c r="Q8" s="43"/>
      <c r="R8" s="21"/>
      <c r="S8" s="9"/>
      <c r="U8" s="2"/>
      <c r="V8" s="2"/>
      <c r="W8" s="26"/>
      <c r="X8" s="26"/>
      <c r="Y8" s="65"/>
      <c r="Z8" s="50"/>
      <c r="AA8" s="51"/>
      <c r="AB8" s="50"/>
      <c r="AC8" s="50"/>
      <c r="AD8" s="50"/>
      <c r="AE8" s="5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V8" s="66"/>
      <c r="AW8" s="66"/>
    </row>
    <row r="9" customFormat="false" ht="12.75" hidden="false" customHeight="true" outlineLevel="0" collapsed="false">
      <c r="B9" s="67"/>
      <c r="C9" s="34"/>
      <c r="D9" s="34"/>
      <c r="E9" s="68"/>
      <c r="F9" s="34"/>
      <c r="G9" s="63"/>
      <c r="H9" s="63"/>
      <c r="I9" s="63"/>
      <c r="J9" s="63"/>
      <c r="K9" s="43"/>
      <c r="L9" s="43"/>
      <c r="M9" s="44"/>
      <c r="N9" s="64"/>
      <c r="O9" s="46"/>
      <c r="P9" s="26" t="s">
        <v>29</v>
      </c>
      <c r="Q9" s="43"/>
      <c r="R9" s="21"/>
      <c r="S9" s="69"/>
      <c r="U9" s="2"/>
      <c r="V9" s="2"/>
      <c r="W9" s="26"/>
      <c r="X9" s="26"/>
      <c r="Y9" s="65"/>
      <c r="Z9" s="50"/>
      <c r="AA9" s="51"/>
      <c r="AB9" s="50"/>
      <c r="AC9" s="50"/>
      <c r="AD9" s="50"/>
      <c r="AE9" s="5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V9" s="66"/>
      <c r="AW9" s="66"/>
    </row>
    <row r="10" customFormat="false" ht="14.25" hidden="false" customHeight="true" outlineLevel="0" collapsed="false">
      <c r="B10" s="70" t="s">
        <v>30</v>
      </c>
      <c r="C10" s="39" t="s">
        <v>31</v>
      </c>
      <c r="D10" s="39" t="s">
        <v>32</v>
      </c>
      <c r="E10" s="71" t="s">
        <v>33</v>
      </c>
      <c r="F10" s="34"/>
      <c r="G10" s="41"/>
      <c r="H10" s="41"/>
      <c r="I10" s="42"/>
      <c r="J10" s="41" t="s">
        <v>22</v>
      </c>
      <c r="K10" s="43" t="s">
        <v>23</v>
      </c>
      <c r="L10" s="43"/>
      <c r="M10" s="44" t="str">
        <f aca="false">IF(AND(U10=1,N10="",AR10&gt;0,AR10&lt;&gt;""),"TODO !","")</f>
        <v/>
      </c>
      <c r="N10" s="45" t="n">
        <v>14445</v>
      </c>
      <c r="O10" s="46" t="s">
        <v>24</v>
      </c>
      <c r="P10" s="72" t="n">
        <v>1</v>
      </c>
      <c r="Q10" s="43"/>
      <c r="R10" s="47" t="n">
        <v>2</v>
      </c>
      <c r="S10" s="8" t="n">
        <f aca="false">SUM(R10:R17)</f>
        <v>28</v>
      </c>
      <c r="U10" s="48" t="n">
        <v>1</v>
      </c>
      <c r="V10" s="48" t="n">
        <v>1</v>
      </c>
      <c r="W10" s="26" t="str">
        <f aca="false">IF(AND(U10=1,V10=0),"Bonus","")</f>
        <v/>
      </c>
      <c r="X10" s="26"/>
      <c r="Y10" s="49" t="n">
        <f aca="false">IF(U10=1,AR10,"")</f>
        <v>6</v>
      </c>
      <c r="Z10" s="50"/>
      <c r="AA10" s="51"/>
      <c r="AB10" s="50"/>
      <c r="AC10" s="50"/>
      <c r="AD10" s="50"/>
      <c r="AE10" s="52"/>
      <c r="AG10" s="53" t="s">
        <v>34</v>
      </c>
      <c r="AH10" s="2"/>
      <c r="AI10" s="48" t="n">
        <f aca="false">U10*V10*R10</f>
        <v>2</v>
      </c>
      <c r="AJ10" s="2"/>
      <c r="AK10" s="48" t="str">
        <f aca="false">IF(G10="x",AK$4,"")</f>
        <v/>
      </c>
      <c r="AL10" s="48" t="str">
        <f aca="false">IF(H10="x",AL$4,"")</f>
        <v/>
      </c>
      <c r="AM10" s="48" t="str">
        <f aca="false">IF(I10="x",AM$4,"")</f>
        <v/>
      </c>
      <c r="AN10" s="48" t="n">
        <f aca="false">IF(J10="x",AN$4,"")</f>
        <v>3</v>
      </c>
      <c r="AO10" s="2"/>
      <c r="AP10" s="48" t="n">
        <f aca="false">COUNTIF(G10:J10,"=x")</f>
        <v>1</v>
      </c>
      <c r="AQ10" s="48" t="n">
        <f aca="false">IF(AP10&gt;0,AVERAGE(AK10:AN10),"")</f>
        <v>3</v>
      </c>
      <c r="AR10" s="48" t="n">
        <f aca="false">IF(AND(AP10&gt;0,U10=1),AQ10*R10,"")</f>
        <v>6</v>
      </c>
      <c r="AS10" s="2"/>
      <c r="AT10" s="48" t="n">
        <f aca="false">AI10*3</f>
        <v>6</v>
      </c>
      <c r="AV10" s="54" t="n">
        <f aca="false">SUM(AR10:AR17)</f>
        <v>84</v>
      </c>
      <c r="AW10" s="54" t="n">
        <f aca="false">SUM(AT10:AT17)</f>
        <v>84</v>
      </c>
    </row>
    <row r="11" customFormat="false" ht="12.8" hidden="false" customHeight="false" outlineLevel="0" collapsed="false">
      <c r="B11" s="70"/>
      <c r="C11" s="34" t="s">
        <v>31</v>
      </c>
      <c r="D11" s="34" t="s">
        <v>35</v>
      </c>
      <c r="E11" s="71"/>
      <c r="F11" s="34"/>
      <c r="G11" s="41"/>
      <c r="H11" s="41"/>
      <c r="I11" s="42"/>
      <c r="J11" s="41" t="s">
        <v>22</v>
      </c>
      <c r="K11" s="43" t="s">
        <v>23</v>
      </c>
      <c r="L11" s="43"/>
      <c r="M11" s="44" t="str">
        <f aca="false">IF(AND(U11=1,N11="",AR11&gt;0,AR11&lt;&gt;""),"TODO !","")</f>
        <v/>
      </c>
      <c r="N11" s="45" t="n">
        <v>14320</v>
      </c>
      <c r="O11" s="46" t="s">
        <v>24</v>
      </c>
      <c r="P11" s="50" t="n">
        <f aca="false">IF(AND(N11&lt;&gt;"",N10&lt;&gt;""),N11/$N$10,"")</f>
        <v>0.99134648667359</v>
      </c>
      <c r="Q11" s="43"/>
      <c r="R11" s="47" t="n">
        <v>14</v>
      </c>
      <c r="S11" s="8"/>
      <c r="U11" s="48" t="n">
        <v>1</v>
      </c>
      <c r="V11" s="48" t="n">
        <v>1</v>
      </c>
      <c r="W11" s="26" t="str">
        <f aca="false">IF(AND(U11=1,V11=0),"Bonus","")</f>
        <v/>
      </c>
      <c r="X11" s="26"/>
      <c r="Y11" s="49" t="n">
        <f aca="false">IF(U11=1,AR11,"")</f>
        <v>42</v>
      </c>
      <c r="Z11" s="50"/>
      <c r="AA11" s="50"/>
      <c r="AB11" s="50"/>
      <c r="AC11" s="50"/>
      <c r="AD11" s="50"/>
      <c r="AE11" s="73"/>
      <c r="AG11" s="53"/>
      <c r="AH11" s="2"/>
      <c r="AI11" s="48" t="n">
        <f aca="false">U11*V11*R11</f>
        <v>14</v>
      </c>
      <c r="AJ11" s="2"/>
      <c r="AK11" s="48" t="str">
        <f aca="false">IF(G11="x",AK$4,"")</f>
        <v/>
      </c>
      <c r="AL11" s="48" t="str">
        <f aca="false">IF(H11="x",AL$4,"")</f>
        <v/>
      </c>
      <c r="AM11" s="48" t="str">
        <f aca="false">IF(I11="x",AM$4,"")</f>
        <v/>
      </c>
      <c r="AN11" s="48" t="n">
        <f aca="false">IF(J11="x",AN$4,"")</f>
        <v>3</v>
      </c>
      <c r="AO11" s="2"/>
      <c r="AP11" s="48" t="n">
        <f aca="false">COUNTIF(G11:J11,"=x")</f>
        <v>1</v>
      </c>
      <c r="AQ11" s="48" t="n">
        <f aca="false">IF(AP11&gt;0,AVERAGE(AK11:AN11),"")</f>
        <v>3</v>
      </c>
      <c r="AR11" s="48" t="n">
        <f aca="false">IF(AND(AP11&gt;0,U11=1),AQ11*R11,"")</f>
        <v>42</v>
      </c>
      <c r="AS11" s="2"/>
      <c r="AT11" s="48" t="n">
        <f aca="false">AI11*3</f>
        <v>42</v>
      </c>
      <c r="AV11" s="54"/>
      <c r="AW11" s="54"/>
    </row>
    <row r="12" customFormat="false" ht="12.8" hidden="false" customHeight="false" outlineLevel="0" collapsed="false">
      <c r="B12" s="70"/>
      <c r="C12" s="34" t="s">
        <v>31</v>
      </c>
      <c r="D12" s="34" t="s">
        <v>36</v>
      </c>
      <c r="E12" s="71"/>
      <c r="F12" s="34"/>
      <c r="G12" s="41"/>
      <c r="H12" s="41"/>
      <c r="I12" s="42"/>
      <c r="J12" s="41" t="s">
        <v>22</v>
      </c>
      <c r="K12" s="43" t="s">
        <v>23</v>
      </c>
      <c r="L12" s="43"/>
      <c r="M12" s="44" t="str">
        <f aca="false">IF(AND(U12=1,N12="",AR12&gt;0,AR12&lt;&gt;""),"TODO !","")</f>
        <v/>
      </c>
      <c r="N12" s="45" t="n">
        <v>14313</v>
      </c>
      <c r="O12" s="46" t="s">
        <v>24</v>
      </c>
      <c r="P12" s="50" t="n">
        <f aca="false">IF(AND(N12&lt;&gt;"",N11&lt;&gt;""),N12/$N$10,"")</f>
        <v>0.99086188992731</v>
      </c>
      <c r="Q12" s="43"/>
      <c r="R12" s="47" t="n">
        <v>2</v>
      </c>
      <c r="S12" s="8"/>
      <c r="U12" s="48" t="n">
        <v>1</v>
      </c>
      <c r="V12" s="48" t="n">
        <v>1</v>
      </c>
      <c r="W12" s="26" t="str">
        <f aca="false">IF(AND(U12=1,V12=0),"Bonus","")</f>
        <v/>
      </c>
      <c r="X12" s="26"/>
      <c r="Y12" s="49" t="n">
        <f aca="false">IF(U12=1,AR12,"")</f>
        <v>6</v>
      </c>
      <c r="Z12" s="50"/>
      <c r="AA12" s="50"/>
      <c r="AB12" s="50"/>
      <c r="AC12" s="50"/>
      <c r="AD12" s="50"/>
      <c r="AE12" s="73"/>
      <c r="AG12" s="53"/>
      <c r="AH12" s="2"/>
      <c r="AI12" s="48" t="n">
        <f aca="false">U12*V12*R12</f>
        <v>2</v>
      </c>
      <c r="AJ12" s="2"/>
      <c r="AK12" s="48" t="str">
        <f aca="false">IF(G12="x",AK$4,"")</f>
        <v/>
      </c>
      <c r="AL12" s="48" t="str">
        <f aca="false">IF(H12="x",AL$4,"")</f>
        <v/>
      </c>
      <c r="AM12" s="48" t="str">
        <f aca="false">IF(I12="x",AM$4,"")</f>
        <v/>
      </c>
      <c r="AN12" s="48" t="n">
        <f aca="false">IF(J12="x",AN$4,"")</f>
        <v>3</v>
      </c>
      <c r="AO12" s="2"/>
      <c r="AP12" s="48" t="n">
        <f aca="false">COUNTIF(G12:J12,"=x")</f>
        <v>1</v>
      </c>
      <c r="AQ12" s="48" t="n">
        <f aca="false">IF(AP12&gt;0,AVERAGE(AK12:AN12),"")</f>
        <v>3</v>
      </c>
      <c r="AR12" s="48" t="n">
        <f aca="false">IF(AND(AP12&gt;0,U12=1),AQ12*R12,"")</f>
        <v>6</v>
      </c>
      <c r="AS12" s="2"/>
      <c r="AT12" s="48" t="n">
        <f aca="false">AI12*3</f>
        <v>6</v>
      </c>
      <c r="AV12" s="54"/>
      <c r="AW12" s="54"/>
    </row>
    <row r="13" customFormat="false" ht="12.8" hidden="false" customHeight="false" outlineLevel="0" collapsed="false">
      <c r="B13" s="70"/>
      <c r="C13" s="34" t="s">
        <v>37</v>
      </c>
      <c r="D13" s="34"/>
      <c r="E13" s="71"/>
      <c r="F13" s="34"/>
      <c r="G13" s="41"/>
      <c r="H13" s="41"/>
      <c r="I13" s="58"/>
      <c r="J13" s="41" t="s">
        <v>22</v>
      </c>
      <c r="K13" s="43" t="s">
        <v>23</v>
      </c>
      <c r="L13" s="43"/>
      <c r="M13" s="44"/>
      <c r="N13" s="64"/>
      <c r="O13" s="46"/>
      <c r="P13" s="50"/>
      <c r="Q13" s="43"/>
      <c r="R13" s="47" t="n">
        <v>6</v>
      </c>
      <c r="S13" s="8"/>
      <c r="U13" s="48" t="n">
        <v>1</v>
      </c>
      <c r="V13" s="48" t="n">
        <v>1</v>
      </c>
      <c r="W13" s="26" t="str">
        <f aca="false">IF(AND(U13=1,V13=0),"Bonus","")</f>
        <v/>
      </c>
      <c r="X13" s="26"/>
      <c r="Y13" s="49" t="n">
        <f aca="false">IF(U13=1,AR13,"")</f>
        <v>18</v>
      </c>
      <c r="Z13" s="50"/>
      <c r="AA13" s="50"/>
      <c r="AB13" s="50"/>
      <c r="AC13" s="50"/>
      <c r="AD13" s="50"/>
      <c r="AE13" s="74"/>
      <c r="AF13" s="0" t="str">
        <f aca="false">IF(AND(J13="x",AE13=""),"TODO !","")</f>
        <v>TODO !</v>
      </c>
      <c r="AG13" s="53"/>
      <c r="AH13" s="2"/>
      <c r="AI13" s="48" t="n">
        <f aca="false">U13*V13*R13</f>
        <v>6</v>
      </c>
      <c r="AJ13" s="2"/>
      <c r="AK13" s="48" t="str">
        <f aca="false">IF(G13="x",AK$4,"")</f>
        <v/>
      </c>
      <c r="AL13" s="48" t="str">
        <f aca="false">IF(H13="x",AL$4,"")</f>
        <v/>
      </c>
      <c r="AM13" s="48" t="str">
        <f aca="false">IF(I13="x",AM$4,"")</f>
        <v/>
      </c>
      <c r="AN13" s="48" t="n">
        <f aca="false">IF(J13="x",AN$4,"")</f>
        <v>3</v>
      </c>
      <c r="AO13" s="2"/>
      <c r="AP13" s="48" t="n">
        <f aca="false">COUNTIF(G13:J13,"=x")</f>
        <v>1</v>
      </c>
      <c r="AQ13" s="48" t="n">
        <f aca="false">IF(AP13&gt;0,AVERAGE(AK13:AN13),"")</f>
        <v>3</v>
      </c>
      <c r="AR13" s="48" t="n">
        <f aca="false">IF(AND(AP13&gt;0,U13=1),AQ13*R13,"")</f>
        <v>18</v>
      </c>
      <c r="AS13" s="2"/>
      <c r="AT13" s="48" t="n">
        <f aca="false">AI13*3</f>
        <v>18</v>
      </c>
      <c r="AV13" s="54"/>
      <c r="AW13" s="54"/>
    </row>
    <row r="14" customFormat="false" ht="13.2" hidden="false" customHeight="false" outlineLevel="0" collapsed="false">
      <c r="B14" s="70"/>
      <c r="C14" s="34"/>
      <c r="D14" s="34"/>
      <c r="E14" s="75"/>
      <c r="F14" s="34"/>
      <c r="G14" s="63"/>
      <c r="H14" s="63"/>
      <c r="I14" s="63"/>
      <c r="J14" s="63"/>
      <c r="K14" s="43"/>
      <c r="L14" s="43"/>
      <c r="M14" s="44"/>
      <c r="N14" s="64"/>
      <c r="O14" s="46"/>
      <c r="P14" s="50"/>
      <c r="Q14" s="43"/>
      <c r="R14" s="21"/>
      <c r="S14" s="8"/>
      <c r="U14" s="2"/>
      <c r="V14" s="2"/>
      <c r="W14" s="26"/>
      <c r="X14" s="26"/>
      <c r="Y14" s="65"/>
      <c r="Z14" s="50"/>
      <c r="AA14" s="50"/>
      <c r="AB14" s="50"/>
      <c r="AC14" s="50"/>
      <c r="AD14" s="50"/>
      <c r="AE14" s="73"/>
      <c r="AG14" s="53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V14" s="54"/>
      <c r="AW14" s="54"/>
    </row>
    <row r="15" customFormat="false" ht="12.75" hidden="false" customHeight="true" outlineLevel="0" collapsed="false">
      <c r="B15" s="70"/>
      <c r="C15" s="34" t="s">
        <v>31</v>
      </c>
      <c r="D15" s="34" t="s">
        <v>32</v>
      </c>
      <c r="E15" s="76" t="s">
        <v>38</v>
      </c>
      <c r="F15" s="34"/>
      <c r="G15" s="41"/>
      <c r="H15" s="41"/>
      <c r="I15" s="58"/>
      <c r="J15" s="59" t="s">
        <v>22</v>
      </c>
      <c r="K15" s="43" t="s">
        <v>23</v>
      </c>
      <c r="L15" s="43"/>
      <c r="M15" s="44" t="str">
        <f aca="false">IF(AND(U15=1,N15="",AR15&gt;0,AR15&lt;&gt;""),"TODO !","")</f>
        <v/>
      </c>
      <c r="N15" s="60" t="n">
        <v>9</v>
      </c>
      <c r="O15" s="61" t="s">
        <v>28</v>
      </c>
      <c r="P15" s="50"/>
      <c r="Q15" s="43"/>
      <c r="R15" s="77" t="n">
        <v>1</v>
      </c>
      <c r="S15" s="8"/>
      <c r="U15" s="48" t="n">
        <v>1</v>
      </c>
      <c r="V15" s="48" t="n">
        <v>1</v>
      </c>
      <c r="W15" s="26" t="str">
        <f aca="false">IF(AND(U15=1,V15=0),"Bonus","")</f>
        <v/>
      </c>
      <c r="X15" s="26"/>
      <c r="Y15" s="49" t="n">
        <f aca="false">IF(U15=1,AR15,"")</f>
        <v>3</v>
      </c>
      <c r="Z15" s="50"/>
      <c r="AA15" s="50"/>
      <c r="AB15" s="50"/>
      <c r="AC15" s="50"/>
      <c r="AD15" s="50"/>
      <c r="AE15" s="73"/>
      <c r="AG15" s="53"/>
      <c r="AH15" s="2"/>
      <c r="AI15" s="48" t="n">
        <f aca="false">U15*V15*R15</f>
        <v>1</v>
      </c>
      <c r="AJ15" s="2"/>
      <c r="AK15" s="48" t="str">
        <f aca="false">IF(G15="x",AK$4,"")</f>
        <v/>
      </c>
      <c r="AL15" s="48" t="str">
        <f aca="false">IF(H15="x",AL$4,"")</f>
        <v/>
      </c>
      <c r="AM15" s="48" t="str">
        <f aca="false">IF(I15="x",AM$4,"")</f>
        <v/>
      </c>
      <c r="AN15" s="48" t="n">
        <f aca="false">IF(J15="x",AN$4,"")</f>
        <v>3</v>
      </c>
      <c r="AO15" s="2"/>
      <c r="AP15" s="48" t="n">
        <f aca="false">COUNTIF(G15:J15,"=x")</f>
        <v>1</v>
      </c>
      <c r="AQ15" s="48" t="n">
        <f aca="false">IF(AP15&gt;0,AVERAGE(AK15:AN15),"")</f>
        <v>3</v>
      </c>
      <c r="AR15" s="48" t="n">
        <f aca="false">IF(AND(AP15&gt;0,U15=1),AQ15*R15,"")</f>
        <v>3</v>
      </c>
      <c r="AS15" s="2"/>
      <c r="AT15" s="48" t="n">
        <f aca="false">AI15*3</f>
        <v>3</v>
      </c>
      <c r="AV15" s="54"/>
      <c r="AW15" s="54"/>
    </row>
    <row r="16" customFormat="false" ht="13.2" hidden="false" customHeight="false" outlineLevel="0" collapsed="false">
      <c r="B16" s="70"/>
      <c r="C16" s="34" t="s">
        <v>31</v>
      </c>
      <c r="D16" s="34" t="s">
        <v>35</v>
      </c>
      <c r="E16" s="76"/>
      <c r="F16" s="34"/>
      <c r="G16" s="41"/>
      <c r="H16" s="41"/>
      <c r="I16" s="58"/>
      <c r="J16" s="59" t="s">
        <v>22</v>
      </c>
      <c r="K16" s="43" t="s">
        <v>23</v>
      </c>
      <c r="L16" s="43"/>
      <c r="M16" s="44" t="str">
        <f aca="false">IF(AND(U16=1,N16="",AR16&gt;0,AR16&lt;&gt;""),"TODO !","")</f>
        <v/>
      </c>
      <c r="N16" s="60" t="n">
        <v>9</v>
      </c>
      <c r="O16" s="61" t="s">
        <v>28</v>
      </c>
      <c r="P16" s="50"/>
      <c r="Q16" s="43"/>
      <c r="R16" s="77" t="n">
        <v>2</v>
      </c>
      <c r="S16" s="8"/>
      <c r="U16" s="48" t="n">
        <v>1</v>
      </c>
      <c r="V16" s="48" t="n">
        <v>1</v>
      </c>
      <c r="W16" s="26" t="str">
        <f aca="false">IF(AND(U16=1,V16=0),"Bonus","")</f>
        <v/>
      </c>
      <c r="X16" s="26"/>
      <c r="Y16" s="49" t="n">
        <f aca="false">IF(U16=1,AR16,"")</f>
        <v>6</v>
      </c>
      <c r="Z16" s="50"/>
      <c r="AA16" s="50"/>
      <c r="AB16" s="50"/>
      <c r="AC16" s="50"/>
      <c r="AD16" s="50"/>
      <c r="AE16" s="73"/>
      <c r="AG16" s="53"/>
      <c r="AH16" s="2"/>
      <c r="AI16" s="48" t="n">
        <f aca="false">U16*V16*R16</f>
        <v>2</v>
      </c>
      <c r="AJ16" s="2"/>
      <c r="AK16" s="48" t="str">
        <f aca="false">IF(G16="x",AK$4,"")</f>
        <v/>
      </c>
      <c r="AL16" s="48" t="str">
        <f aca="false">IF(H16="x",AL$4,"")</f>
        <v/>
      </c>
      <c r="AM16" s="48" t="str">
        <f aca="false">IF(I16="x",AM$4,"")</f>
        <v/>
      </c>
      <c r="AN16" s="48" t="n">
        <f aca="false">IF(J16="x",AN$4,"")</f>
        <v>3</v>
      </c>
      <c r="AO16" s="2"/>
      <c r="AP16" s="48" t="n">
        <f aca="false">COUNTIF(G16:J16,"=x")</f>
        <v>1</v>
      </c>
      <c r="AQ16" s="48" t="n">
        <f aca="false">IF(AP16&gt;0,AVERAGE(AK16:AN16),"")</f>
        <v>3</v>
      </c>
      <c r="AR16" s="48" t="n">
        <f aca="false">IF(AND(AP16&gt;0,U16=1),AQ16*R16,"")</f>
        <v>6</v>
      </c>
      <c r="AS16" s="2"/>
      <c r="AT16" s="48" t="n">
        <f aca="false">AI16*3</f>
        <v>6</v>
      </c>
      <c r="AV16" s="54"/>
      <c r="AW16" s="54"/>
    </row>
    <row r="17" customFormat="false" ht="13.2" hidden="false" customHeight="false" outlineLevel="0" collapsed="false">
      <c r="B17" s="70"/>
      <c r="C17" s="56" t="s">
        <v>31</v>
      </c>
      <c r="D17" s="56" t="s">
        <v>36</v>
      </c>
      <c r="E17" s="76"/>
      <c r="F17" s="34"/>
      <c r="G17" s="41"/>
      <c r="H17" s="41"/>
      <c r="I17" s="41"/>
      <c r="J17" s="59" t="s">
        <v>22</v>
      </c>
      <c r="K17" s="43" t="s">
        <v>23</v>
      </c>
      <c r="L17" s="43"/>
      <c r="M17" s="44" t="str">
        <f aca="false">IF(AND(U17=1,N17="",AR17&gt;0,AR17&lt;&gt;""),"TODO !","")</f>
        <v/>
      </c>
      <c r="N17" s="60" t="n">
        <v>10</v>
      </c>
      <c r="O17" s="61" t="s">
        <v>28</v>
      </c>
      <c r="Q17" s="43"/>
      <c r="R17" s="77" t="n">
        <v>1</v>
      </c>
      <c r="S17" s="8"/>
      <c r="U17" s="48" t="n">
        <v>1</v>
      </c>
      <c r="V17" s="48" t="n">
        <v>1</v>
      </c>
      <c r="W17" s="26" t="str">
        <f aca="false">IF(AND(U17=1,V17=0),"Bonus","")</f>
        <v/>
      </c>
      <c r="X17" s="26"/>
      <c r="Y17" s="49" t="n">
        <f aca="false">IF(U17=1,AR17,"")</f>
        <v>3</v>
      </c>
      <c r="Z17" s="50"/>
      <c r="AA17" s="50"/>
      <c r="AB17" s="50"/>
      <c r="AC17" s="50"/>
      <c r="AD17" s="50"/>
      <c r="AE17" s="73"/>
      <c r="AG17" s="53"/>
      <c r="AH17" s="2"/>
      <c r="AI17" s="48" t="n">
        <f aca="false">U17*V17*R17</f>
        <v>1</v>
      </c>
      <c r="AJ17" s="2"/>
      <c r="AK17" s="48" t="str">
        <f aca="false">IF(G17="x",AK$4,"")</f>
        <v/>
      </c>
      <c r="AL17" s="48" t="str">
        <f aca="false">IF(H17="x",AL$4,"")</f>
        <v/>
      </c>
      <c r="AM17" s="48" t="str">
        <f aca="false">IF(I17="x",AM$4,"")</f>
        <v/>
      </c>
      <c r="AN17" s="48" t="n">
        <f aca="false">IF(J17="x",AN$4,"")</f>
        <v>3</v>
      </c>
      <c r="AO17" s="2"/>
      <c r="AP17" s="48" t="n">
        <f aca="false">COUNTIF(G17:J17,"=x")</f>
        <v>1</v>
      </c>
      <c r="AQ17" s="48" t="n">
        <f aca="false">IF(AP17&gt;0,AVERAGE(AK17:AN17),"")</f>
        <v>3</v>
      </c>
      <c r="AR17" s="48" t="n">
        <f aca="false">IF(AND(AP17&gt;0,U17=1),AQ17*R17,"")</f>
        <v>3</v>
      </c>
      <c r="AS17" s="2"/>
      <c r="AT17" s="48" t="n">
        <f aca="false">AI17*3</f>
        <v>3</v>
      </c>
      <c r="AV17" s="54"/>
      <c r="AW17" s="54"/>
    </row>
    <row r="18" customFormat="false" ht="13.2" hidden="false" customHeight="false" outlineLevel="0" collapsed="false">
      <c r="G18" s="78"/>
      <c r="H18" s="78"/>
      <c r="I18" s="78"/>
      <c r="J18" s="78"/>
      <c r="L18" s="2"/>
      <c r="M18" s="44"/>
      <c r="N18" s="79"/>
      <c r="O18" s="46"/>
      <c r="U18" s="2"/>
      <c r="V18" s="2"/>
      <c r="W18" s="26"/>
      <c r="X18" s="26"/>
      <c r="Y18" s="65" t="str">
        <f aca="false">IF(U18=1,AR18,"")</f>
        <v/>
      </c>
      <c r="Z18" s="80"/>
      <c r="AA18" s="80"/>
      <c r="AB18" s="80"/>
      <c r="AC18" s="80"/>
      <c r="AD18" s="80"/>
      <c r="AE18" s="73"/>
      <c r="AH18" s="2"/>
      <c r="AI18" s="2"/>
      <c r="AJ18" s="2"/>
      <c r="AK18" s="2" t="str">
        <f aca="false">IF(G18="x",AK$4,"")</f>
        <v/>
      </c>
      <c r="AL18" s="2" t="str">
        <f aca="false">IF(H18="x",AL$4,"")</f>
        <v/>
      </c>
      <c r="AM18" s="2" t="str">
        <f aca="false">IF(I18="x",AM$4,"")</f>
        <v/>
      </c>
      <c r="AN18" s="2" t="str">
        <f aca="false">IF(J18="x",AN$4,"")</f>
        <v/>
      </c>
      <c r="AO18" s="2"/>
      <c r="AP18" s="2"/>
      <c r="AQ18" s="2" t="str">
        <f aca="false">IF(AP18&gt;0,AVERAGE(AK18:AN18),"")</f>
        <v/>
      </c>
      <c r="AR18" s="2"/>
      <c r="AS18" s="2"/>
      <c r="AT18" s="2"/>
    </row>
    <row r="19" customFormat="false" ht="13.2" hidden="false" customHeight="false" outlineLevel="1" collapsed="false">
      <c r="G19" s="78"/>
      <c r="H19" s="78"/>
      <c r="I19" s="78"/>
      <c r="J19" s="78"/>
      <c r="L19" s="2"/>
      <c r="M19" s="44"/>
      <c r="O19" s="81"/>
      <c r="P19" s="26" t="s">
        <v>29</v>
      </c>
      <c r="U19" s="2"/>
      <c r="V19" s="2"/>
      <c r="W19" s="26"/>
      <c r="X19" s="26"/>
      <c r="Y19" s="65" t="str">
        <f aca="false">IF(U19=1,AR19,"")</f>
        <v/>
      </c>
      <c r="Z19" s="80"/>
      <c r="AA19" s="80"/>
      <c r="AB19" s="80"/>
      <c r="AC19" s="80"/>
      <c r="AD19" s="80"/>
      <c r="AE19" s="73"/>
      <c r="AH19" s="2"/>
      <c r="AI19" s="2"/>
      <c r="AJ19" s="2"/>
      <c r="AK19" s="2" t="str">
        <f aca="false">IF(G19="x",AK$4,"")</f>
        <v/>
      </c>
      <c r="AL19" s="2" t="str">
        <f aca="false">IF(H19="x",AL$4,"")</f>
        <v/>
      </c>
      <c r="AM19" s="2" t="str">
        <f aca="false">IF(I19="x",AM$4,"")</f>
        <v/>
      </c>
      <c r="AN19" s="2" t="str">
        <f aca="false">IF(J19="x",AN$4,"")</f>
        <v/>
      </c>
      <c r="AO19" s="2"/>
      <c r="AP19" s="2"/>
      <c r="AQ19" s="2" t="str">
        <f aca="false">IF(AP19&gt;0,AVERAGE(AK19:AN19),"")</f>
        <v/>
      </c>
      <c r="AR19" s="2"/>
      <c r="AS19" s="2"/>
      <c r="AT19" s="2"/>
    </row>
    <row r="20" customFormat="false" ht="12.75" hidden="false" customHeight="true" outlineLevel="1" collapsed="false">
      <c r="B20" s="70" t="s">
        <v>39</v>
      </c>
      <c r="C20" s="38" t="s">
        <v>40</v>
      </c>
      <c r="D20" s="39"/>
      <c r="E20" s="71" t="s">
        <v>33</v>
      </c>
      <c r="F20" s="34"/>
      <c r="G20" s="41"/>
      <c r="H20" s="41"/>
      <c r="I20" s="42"/>
      <c r="J20" s="41" t="s">
        <v>22</v>
      </c>
      <c r="K20" s="43" t="s">
        <v>23</v>
      </c>
      <c r="L20" s="43"/>
      <c r="M20" s="44" t="str">
        <f aca="false">IF(AND(U20=1,N20="",AR20&gt;0,AR20&lt;&gt;""),"TODO !","")</f>
        <v/>
      </c>
      <c r="N20" s="45" t="n">
        <v>241</v>
      </c>
      <c r="O20" s="46" t="s">
        <v>24</v>
      </c>
      <c r="P20" s="72" t="n">
        <v>1</v>
      </c>
      <c r="Q20" s="43"/>
      <c r="R20" s="47" t="n">
        <v>6</v>
      </c>
      <c r="S20" s="8" t="n">
        <f aca="false">SUM(R20:R29)</f>
        <v>22</v>
      </c>
      <c r="U20" s="48" t="n">
        <v>1</v>
      </c>
      <c r="V20" s="48" t="n">
        <v>1</v>
      </c>
      <c r="W20" s="26" t="str">
        <f aca="false">IF(AND(U20=1,V20=0),"Bonus","")</f>
        <v/>
      </c>
      <c r="X20" s="26"/>
      <c r="Y20" s="49" t="n">
        <f aca="false">IF(U20=1,AR20,"")</f>
        <v>18</v>
      </c>
      <c r="Z20" s="50"/>
      <c r="AA20" s="50"/>
      <c r="AB20" s="50"/>
      <c r="AC20" s="50"/>
      <c r="AD20" s="50"/>
      <c r="AE20" s="73"/>
      <c r="AG20" s="53" t="s">
        <v>41</v>
      </c>
      <c r="AH20" s="2"/>
      <c r="AI20" s="48" t="n">
        <f aca="false">U20*V20*R20</f>
        <v>6</v>
      </c>
      <c r="AJ20" s="2"/>
      <c r="AK20" s="48" t="str">
        <f aca="false">IF(G20="x",AK$4,"")</f>
        <v/>
      </c>
      <c r="AL20" s="48" t="str">
        <f aca="false">IF(H20="x",AL$4,"")</f>
        <v/>
      </c>
      <c r="AM20" s="48" t="str">
        <f aca="false">IF(I20="x",AM$4,"")</f>
        <v/>
      </c>
      <c r="AN20" s="48" t="n">
        <f aca="false">IF(J20="x",AN$4,"")</f>
        <v>3</v>
      </c>
      <c r="AO20" s="2"/>
      <c r="AP20" s="48" t="n">
        <f aca="false">COUNTIF(G20:J20,"=x")</f>
        <v>1</v>
      </c>
      <c r="AQ20" s="48" t="n">
        <f aca="false">IF(AP20&gt;0,AVERAGE(AK20:AN20),"")</f>
        <v>3</v>
      </c>
      <c r="AR20" s="48" t="n">
        <f aca="false">IF(AND(AP20&gt;0,U20=1),AQ20*R20,"")</f>
        <v>18</v>
      </c>
      <c r="AS20" s="2"/>
      <c r="AT20" s="48" t="n">
        <f aca="false">AI20*3</f>
        <v>18</v>
      </c>
      <c r="AV20" s="54" t="n">
        <f aca="false">SUM(AR20:AR29)</f>
        <v>66</v>
      </c>
      <c r="AW20" s="54" t="n">
        <f aca="false">SUM(AT20:AT29)</f>
        <v>66</v>
      </c>
    </row>
    <row r="21" customFormat="false" ht="13.2" hidden="false" customHeight="false" outlineLevel="1" collapsed="false">
      <c r="B21" s="70"/>
      <c r="C21" s="82" t="s">
        <v>42</v>
      </c>
      <c r="D21" s="34"/>
      <c r="E21" s="71"/>
      <c r="F21" s="34"/>
      <c r="G21" s="41"/>
      <c r="H21" s="41"/>
      <c r="I21" s="42"/>
      <c r="J21" s="41" t="s">
        <v>22</v>
      </c>
      <c r="K21" s="43" t="s">
        <v>23</v>
      </c>
      <c r="L21" s="43"/>
      <c r="M21" s="44" t="str">
        <f aca="false">IF(AND(U21=1,N21="",AR21&gt;0,AR21&lt;&gt;""),"TODO !","")</f>
        <v/>
      </c>
      <c r="N21" s="45" t="n">
        <v>279</v>
      </c>
      <c r="O21" s="46" t="s">
        <v>24</v>
      </c>
      <c r="P21" s="83" t="n">
        <f aca="false">IF(N21&lt;&gt;"",N21/$N$20,"")</f>
        <v>1.15767634854772</v>
      </c>
      <c r="Q21" s="43"/>
      <c r="R21" s="47" t="n">
        <v>2</v>
      </c>
      <c r="S21" s="8"/>
      <c r="U21" s="48" t="n">
        <v>1</v>
      </c>
      <c r="V21" s="48" t="n">
        <v>1</v>
      </c>
      <c r="W21" s="26" t="str">
        <f aca="false">IF(AND(U21=1,V21=0),"Bonus","")</f>
        <v/>
      </c>
      <c r="X21" s="26"/>
      <c r="Y21" s="49" t="n">
        <f aca="false">IF(U21=1,AR21,"")</f>
        <v>6</v>
      </c>
      <c r="Z21" s="50"/>
      <c r="AA21" s="50"/>
      <c r="AB21" s="50"/>
      <c r="AC21" s="50"/>
      <c r="AD21" s="50"/>
      <c r="AE21" s="73"/>
      <c r="AG21" s="53"/>
      <c r="AH21" s="2"/>
      <c r="AI21" s="48" t="n">
        <f aca="false">U21*V21*R21</f>
        <v>2</v>
      </c>
      <c r="AJ21" s="2"/>
      <c r="AK21" s="48" t="str">
        <f aca="false">IF(G21="x",AK$4,"")</f>
        <v/>
      </c>
      <c r="AL21" s="48" t="str">
        <f aca="false">IF(H21="x",AL$4,"")</f>
        <v/>
      </c>
      <c r="AM21" s="48" t="str">
        <f aca="false">IF(I21="x",AM$4,"")</f>
        <v/>
      </c>
      <c r="AN21" s="48" t="n">
        <f aca="false">IF(J21="x",AN$4,"")</f>
        <v>3</v>
      </c>
      <c r="AO21" s="2"/>
      <c r="AP21" s="48" t="n">
        <f aca="false">COUNTIF(G21:J21,"=x")</f>
        <v>1</v>
      </c>
      <c r="AQ21" s="48" t="n">
        <f aca="false">IF(AP21&gt;0,AVERAGE(AK21:AN21),"")</f>
        <v>3</v>
      </c>
      <c r="AR21" s="48" t="n">
        <f aca="false">IF(AND(AP21&gt;0,U21=1),AQ21*R21,"")</f>
        <v>6</v>
      </c>
      <c r="AS21" s="2"/>
      <c r="AT21" s="48" t="n">
        <f aca="false">AI21*3</f>
        <v>6</v>
      </c>
      <c r="AV21" s="54"/>
      <c r="AW21" s="54"/>
    </row>
    <row r="22" customFormat="false" ht="12.8" hidden="false" customHeight="false" outlineLevel="1" collapsed="false">
      <c r="B22" s="70"/>
      <c r="C22" s="82" t="s">
        <v>43</v>
      </c>
      <c r="D22" s="34"/>
      <c r="E22" s="71"/>
      <c r="F22" s="34"/>
      <c r="G22" s="84"/>
      <c r="H22" s="84"/>
      <c r="I22" s="85"/>
      <c r="J22" s="84" t="s">
        <v>22</v>
      </c>
      <c r="K22" s="43" t="s">
        <v>23</v>
      </c>
      <c r="L22" s="43"/>
      <c r="M22" s="44" t="str">
        <f aca="false">IF(AND(U22=1,N22="",AR22&gt;0,AR22&lt;&gt;""),"TODO !","")</f>
        <v/>
      </c>
      <c r="N22" s="45" t="n">
        <v>97</v>
      </c>
      <c r="O22" s="46" t="s">
        <v>24</v>
      </c>
      <c r="P22" s="83" t="n">
        <f aca="false">IF(N22&lt;&gt;"",N22/$N$20,"")</f>
        <v>0.402489626556017</v>
      </c>
      <c r="Q22" s="43"/>
      <c r="R22" s="47" t="n">
        <v>7</v>
      </c>
      <c r="S22" s="8"/>
      <c r="U22" s="48" t="n">
        <v>1</v>
      </c>
      <c r="V22" s="48" t="n">
        <v>1</v>
      </c>
      <c r="W22" s="26" t="str">
        <f aca="false">IF(AND(U22=1,V22=0),"Bonus","")</f>
        <v/>
      </c>
      <c r="X22" s="26"/>
      <c r="Y22" s="49" t="n">
        <f aca="false">IF(U22=1,AR22,"")</f>
        <v>21</v>
      </c>
      <c r="Z22" s="50"/>
      <c r="AA22" s="50"/>
      <c r="AB22" s="50"/>
      <c r="AC22" s="50"/>
      <c r="AD22" s="50"/>
      <c r="AE22" s="73"/>
      <c r="AG22" s="53"/>
      <c r="AH22" s="2"/>
      <c r="AI22" s="48" t="n">
        <f aca="false">U22*V22*R22</f>
        <v>7</v>
      </c>
      <c r="AJ22" s="2"/>
      <c r="AK22" s="48" t="str">
        <f aca="false">IF(G22="x",AK$4,"")</f>
        <v/>
      </c>
      <c r="AL22" s="48" t="str">
        <f aca="false">IF(H22="x",AL$4,"")</f>
        <v/>
      </c>
      <c r="AM22" s="48" t="str">
        <f aca="false">IF(I22="x",AM$4,"")</f>
        <v/>
      </c>
      <c r="AN22" s="48" t="n">
        <f aca="false">IF(J22="x",AN$4,"")</f>
        <v>3</v>
      </c>
      <c r="AO22" s="2"/>
      <c r="AP22" s="48" t="n">
        <f aca="false">COUNTIF(G22:J22,"=x")</f>
        <v>1</v>
      </c>
      <c r="AQ22" s="48" t="n">
        <f aca="false">IF(AP22&gt;0,AVERAGE(AK22:AN22),"")</f>
        <v>3</v>
      </c>
      <c r="AR22" s="48" t="n">
        <f aca="false">IF(AND(AP22&gt;0,U22=1),AQ22*R22,"")</f>
        <v>21</v>
      </c>
      <c r="AS22" s="2"/>
      <c r="AT22" s="48" t="n">
        <f aca="false">AI22*3</f>
        <v>21</v>
      </c>
      <c r="AV22" s="54"/>
      <c r="AW22" s="54"/>
    </row>
    <row r="23" customFormat="false" ht="12.8" hidden="false" customHeight="false" outlineLevel="1" collapsed="false">
      <c r="B23" s="70"/>
      <c r="C23" s="82" t="s">
        <v>44</v>
      </c>
      <c r="D23" s="34"/>
      <c r="E23" s="71"/>
      <c r="F23" s="34"/>
      <c r="G23" s="41"/>
      <c r="H23" s="41"/>
      <c r="I23" s="42"/>
      <c r="J23" s="41" t="s">
        <v>22</v>
      </c>
      <c r="K23" s="43" t="s">
        <v>23</v>
      </c>
      <c r="L23" s="43"/>
      <c r="M23" s="44" t="str">
        <f aca="false">IF(AND(U23=1,N23="",AR23&gt;0,AR23&lt;&gt;""),"TODO !","")</f>
        <v/>
      </c>
      <c r="N23" s="86" t="n">
        <v>280</v>
      </c>
      <c r="O23" s="46" t="s">
        <v>24</v>
      </c>
      <c r="P23" s="87" t="n">
        <f aca="false">IF(N23&lt;&gt;"",N23/$N$20,"")</f>
        <v>1.16182572614108</v>
      </c>
      <c r="Q23" s="43"/>
      <c r="R23" s="47" t="n">
        <v>2</v>
      </c>
      <c r="S23" s="8"/>
      <c r="U23" s="48" t="n">
        <v>1</v>
      </c>
      <c r="V23" s="48" t="n">
        <v>1</v>
      </c>
      <c r="W23" s="26" t="str">
        <f aca="false">IF(AND(U23=1,V23=0),"Bonus","")</f>
        <v/>
      </c>
      <c r="X23" s="26"/>
      <c r="Y23" s="49" t="n">
        <f aca="false">IF(U23=1,AR23,"")</f>
        <v>6</v>
      </c>
      <c r="Z23" s="50"/>
      <c r="AA23" s="50"/>
      <c r="AB23" s="50"/>
      <c r="AC23" s="50"/>
      <c r="AD23" s="50"/>
      <c r="AE23" s="73"/>
      <c r="AG23" s="53"/>
      <c r="AH23" s="2"/>
      <c r="AI23" s="48" t="n">
        <f aca="false">U23*V23*R23</f>
        <v>2</v>
      </c>
      <c r="AJ23" s="2"/>
      <c r="AK23" s="48" t="str">
        <f aca="false">IF(G23="x",AK$4,"")</f>
        <v/>
      </c>
      <c r="AL23" s="48" t="str">
        <f aca="false">IF(H23="x",AL$4,"")</f>
        <v/>
      </c>
      <c r="AM23" s="48" t="str">
        <f aca="false">IF(I23="x",AM$4,"")</f>
        <v/>
      </c>
      <c r="AN23" s="48" t="n">
        <f aca="false">IF(J23="x",AN$4,"")</f>
        <v>3</v>
      </c>
      <c r="AO23" s="2"/>
      <c r="AP23" s="48" t="n">
        <f aca="false">COUNTIF(G23:J23,"=x")</f>
        <v>1</v>
      </c>
      <c r="AQ23" s="48" t="n">
        <f aca="false">IF(AP23&gt;0,AVERAGE(AK23:AN23),"")</f>
        <v>3</v>
      </c>
      <c r="AR23" s="48" t="n">
        <f aca="false">IF(AND(AP23&gt;0,U23=1),AQ23*R23,"")</f>
        <v>6</v>
      </c>
      <c r="AS23" s="2"/>
      <c r="AT23" s="48" t="n">
        <f aca="false">AI23*3</f>
        <v>6</v>
      </c>
      <c r="AV23" s="54"/>
      <c r="AW23" s="54"/>
    </row>
    <row r="24" customFormat="false" ht="13.8" hidden="false" customHeight="false" outlineLevel="1" collapsed="false">
      <c r="B24" s="70"/>
      <c r="C24" s="82"/>
      <c r="D24" s="34"/>
      <c r="E24" s="88"/>
      <c r="F24" s="34"/>
      <c r="G24" s="63"/>
      <c r="H24" s="63"/>
      <c r="I24" s="63"/>
      <c r="J24" s="63"/>
      <c r="K24" s="43"/>
      <c r="L24" s="43"/>
      <c r="M24" s="89" t="s">
        <v>45</v>
      </c>
      <c r="N24" s="45" t="n">
        <f aca="false">MAX(N20:N23)</f>
        <v>280</v>
      </c>
      <c r="O24" s="46" t="s">
        <v>24</v>
      </c>
      <c r="P24" s="83" t="n">
        <f aca="false">IF(N24&lt;&gt;"",N24/$N$20,"")</f>
        <v>1.16182572614108</v>
      </c>
      <c r="Q24" s="43"/>
      <c r="R24" s="21"/>
      <c r="S24" s="8"/>
      <c r="U24" s="2"/>
      <c r="V24" s="2"/>
      <c r="W24" s="26"/>
      <c r="X24" s="26"/>
      <c r="Y24" s="65"/>
      <c r="Z24" s="50"/>
      <c r="AA24" s="50"/>
      <c r="AB24" s="50"/>
      <c r="AC24" s="50"/>
      <c r="AD24" s="50"/>
      <c r="AE24" s="73"/>
      <c r="AG24" s="53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V24" s="54"/>
      <c r="AW24" s="54"/>
    </row>
    <row r="25" customFormat="false" ht="13.2" hidden="false" customHeight="false" outlineLevel="1" collapsed="false">
      <c r="B25" s="70"/>
      <c r="C25" s="82"/>
      <c r="D25" s="34"/>
      <c r="E25" s="75"/>
      <c r="F25" s="34"/>
      <c r="G25" s="63"/>
      <c r="H25" s="63"/>
      <c r="I25" s="63"/>
      <c r="J25" s="63"/>
      <c r="K25" s="43"/>
      <c r="L25" s="43"/>
      <c r="M25" s="44"/>
      <c r="N25" s="64"/>
      <c r="O25" s="46"/>
      <c r="P25" s="83"/>
      <c r="Q25" s="43"/>
      <c r="R25" s="21"/>
      <c r="S25" s="8"/>
      <c r="U25" s="2"/>
      <c r="V25" s="2"/>
      <c r="W25" s="26"/>
      <c r="X25" s="26"/>
      <c r="Y25" s="65"/>
      <c r="Z25" s="50"/>
      <c r="AA25" s="50"/>
      <c r="AB25" s="50"/>
      <c r="AC25" s="50"/>
      <c r="AD25" s="50"/>
      <c r="AE25" s="73"/>
      <c r="AG25" s="53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V25" s="54"/>
      <c r="AW25" s="54"/>
    </row>
    <row r="26" customFormat="false" ht="13.2" hidden="false" customHeight="false" outlineLevel="1" collapsed="false">
      <c r="B26" s="70"/>
      <c r="C26" s="82" t="s">
        <v>40</v>
      </c>
      <c r="D26" s="34"/>
      <c r="E26" s="76" t="s">
        <v>27</v>
      </c>
      <c r="F26" s="34"/>
      <c r="G26" s="41"/>
      <c r="H26" s="41"/>
      <c r="I26" s="41"/>
      <c r="J26" s="59" t="s">
        <v>22</v>
      </c>
      <c r="K26" s="43" t="s">
        <v>23</v>
      </c>
      <c r="L26" s="43"/>
      <c r="M26" s="44" t="str">
        <f aca="false">IF(AND(U26=1,N26="",AR26&gt;0,AR26&lt;&gt;""),"TODO !","")</f>
        <v/>
      </c>
      <c r="N26" s="60" t="n">
        <v>2</v>
      </c>
      <c r="O26" s="61" t="s">
        <v>28</v>
      </c>
      <c r="P26" s="83"/>
      <c r="Q26" s="43"/>
      <c r="R26" s="47" t="n">
        <v>2</v>
      </c>
      <c r="S26" s="8"/>
      <c r="U26" s="48" t="n">
        <v>1</v>
      </c>
      <c r="V26" s="48" t="n">
        <v>1</v>
      </c>
      <c r="W26" s="26" t="str">
        <f aca="false">IF(AND(U26=1,V26=0),"Bonus","")</f>
        <v/>
      </c>
      <c r="X26" s="26"/>
      <c r="Y26" s="49" t="n">
        <f aca="false">IF(U26=1,AR26,"")</f>
        <v>6</v>
      </c>
      <c r="Z26" s="50"/>
      <c r="AA26" s="50"/>
      <c r="AB26" s="50"/>
      <c r="AC26" s="50"/>
      <c r="AD26" s="50"/>
      <c r="AE26" s="73"/>
      <c r="AG26" s="53"/>
      <c r="AH26" s="2"/>
      <c r="AI26" s="48" t="n">
        <f aca="false">U26*V26*R26</f>
        <v>2</v>
      </c>
      <c r="AJ26" s="2"/>
      <c r="AK26" s="48" t="str">
        <f aca="false">IF(G26="x",AK$4,"")</f>
        <v/>
      </c>
      <c r="AL26" s="48" t="str">
        <f aca="false">IF(H26="x",AL$4,"")</f>
        <v/>
      </c>
      <c r="AM26" s="48" t="str">
        <f aca="false">IF(I26="x",AM$4,"")</f>
        <v/>
      </c>
      <c r="AN26" s="48" t="n">
        <f aca="false">IF(J26="x",AN$4,"")</f>
        <v>3</v>
      </c>
      <c r="AO26" s="2"/>
      <c r="AP26" s="48" t="n">
        <f aca="false">COUNTIF(G26:J26,"=x")</f>
        <v>1</v>
      </c>
      <c r="AQ26" s="48" t="n">
        <f aca="false">IF(AP26&gt;0,AVERAGE(AK26:AN26),"")</f>
        <v>3</v>
      </c>
      <c r="AR26" s="48" t="n">
        <f aca="false">IF(AND(AP26&gt;0,U26=1),AQ26*R26,"")</f>
        <v>6</v>
      </c>
      <c r="AS26" s="2"/>
      <c r="AT26" s="48" t="n">
        <f aca="false">AI26*3</f>
        <v>6</v>
      </c>
      <c r="AV26" s="54"/>
      <c r="AW26" s="54"/>
    </row>
    <row r="27" customFormat="false" ht="12.8" hidden="false" customHeight="false" outlineLevel="1" collapsed="false">
      <c r="B27" s="70"/>
      <c r="C27" s="82" t="s">
        <v>42</v>
      </c>
      <c r="D27" s="34"/>
      <c r="E27" s="76"/>
      <c r="F27" s="34"/>
      <c r="G27" s="41"/>
      <c r="H27" s="41"/>
      <c r="I27" s="41"/>
      <c r="J27" s="59" t="s">
        <v>22</v>
      </c>
      <c r="K27" s="43" t="s">
        <v>23</v>
      </c>
      <c r="L27" s="43"/>
      <c r="M27" s="44" t="str">
        <f aca="false">IF(AND(U27=1,N27="",AR27&gt;0,AR27&lt;&gt;""),"TODO !","")</f>
        <v/>
      </c>
      <c r="N27" s="60" t="n">
        <v>3</v>
      </c>
      <c r="O27" s="61" t="s">
        <v>28</v>
      </c>
      <c r="P27" s="83"/>
      <c r="Q27" s="43"/>
      <c r="R27" s="47" t="n">
        <v>1</v>
      </c>
      <c r="S27" s="8"/>
      <c r="U27" s="48" t="n">
        <v>1</v>
      </c>
      <c r="V27" s="48" t="n">
        <v>1</v>
      </c>
      <c r="W27" s="26" t="str">
        <f aca="false">IF(AND(U27=1,V27=0),"Bonus","")</f>
        <v/>
      </c>
      <c r="X27" s="26"/>
      <c r="Y27" s="49" t="n">
        <f aca="false">IF(U27=1,AR27,"")</f>
        <v>3</v>
      </c>
      <c r="Z27" s="50"/>
      <c r="AA27" s="50"/>
      <c r="AB27" s="50"/>
      <c r="AC27" s="50"/>
      <c r="AD27" s="50"/>
      <c r="AE27" s="73"/>
      <c r="AG27" s="53"/>
      <c r="AH27" s="2"/>
      <c r="AI27" s="48" t="n">
        <f aca="false">U27*V27*R27</f>
        <v>1</v>
      </c>
      <c r="AJ27" s="2"/>
      <c r="AK27" s="48" t="str">
        <f aca="false">IF(G27="x",AK$4,"")</f>
        <v/>
      </c>
      <c r="AL27" s="48" t="str">
        <f aca="false">IF(H27="x",AL$4,"")</f>
        <v/>
      </c>
      <c r="AM27" s="48" t="str">
        <f aca="false">IF(I27="x",AM$4,"")</f>
        <v/>
      </c>
      <c r="AN27" s="48" t="n">
        <f aca="false">IF(J27="x",AN$4,"")</f>
        <v>3</v>
      </c>
      <c r="AO27" s="2"/>
      <c r="AP27" s="48" t="n">
        <f aca="false">COUNTIF(G27:J27,"=x")</f>
        <v>1</v>
      </c>
      <c r="AQ27" s="48" t="n">
        <f aca="false">IF(AP27&gt;0,AVERAGE(AK27:AN27),"")</f>
        <v>3</v>
      </c>
      <c r="AR27" s="48" t="n">
        <f aca="false">IF(AND(AP27&gt;0,U27=1),AQ27*R27,"")</f>
        <v>3</v>
      </c>
      <c r="AS27" s="2"/>
      <c r="AT27" s="48" t="n">
        <f aca="false">AI27*3</f>
        <v>3</v>
      </c>
      <c r="AV27" s="54"/>
      <c r="AW27" s="54"/>
    </row>
    <row r="28" customFormat="false" ht="13.2" hidden="false" customHeight="false" outlineLevel="1" collapsed="false">
      <c r="B28" s="70"/>
      <c r="C28" s="82" t="s">
        <v>43</v>
      </c>
      <c r="D28" s="34"/>
      <c r="E28" s="76"/>
      <c r="F28" s="34"/>
      <c r="G28" s="41"/>
      <c r="H28" s="41"/>
      <c r="I28" s="41"/>
      <c r="J28" s="59" t="s">
        <v>22</v>
      </c>
      <c r="K28" s="43" t="s">
        <v>23</v>
      </c>
      <c r="L28" s="43"/>
      <c r="M28" s="44" t="str">
        <f aca="false">IF(AND(U28=1,N28="",AR28&gt;0,AR28&lt;&gt;""),"TODO !","")</f>
        <v/>
      </c>
      <c r="N28" s="60" t="n">
        <v>1.9</v>
      </c>
      <c r="O28" s="61" t="s">
        <v>28</v>
      </c>
      <c r="P28" s="83"/>
      <c r="Q28" s="43"/>
      <c r="R28" s="47" t="n">
        <v>1</v>
      </c>
      <c r="S28" s="8"/>
      <c r="U28" s="48" t="n">
        <v>1</v>
      </c>
      <c r="V28" s="48" t="n">
        <v>1</v>
      </c>
      <c r="W28" s="26" t="str">
        <f aca="false">IF(AND(U28=1,V28=0),"Bonus","")</f>
        <v/>
      </c>
      <c r="X28" s="26"/>
      <c r="Y28" s="49" t="n">
        <f aca="false">IF(U28=1,AR28,"")</f>
        <v>3</v>
      </c>
      <c r="Z28" s="50"/>
      <c r="AA28" s="50"/>
      <c r="AB28" s="50"/>
      <c r="AC28" s="50"/>
      <c r="AD28" s="50"/>
      <c r="AE28" s="73"/>
      <c r="AG28" s="53"/>
      <c r="AH28" s="2"/>
      <c r="AI28" s="48" t="n">
        <f aca="false">U28*V28*R28</f>
        <v>1</v>
      </c>
      <c r="AJ28" s="2"/>
      <c r="AK28" s="48" t="str">
        <f aca="false">IF(G28="x",AK$4,"")</f>
        <v/>
      </c>
      <c r="AL28" s="48" t="str">
        <f aca="false">IF(H28="x",AL$4,"")</f>
        <v/>
      </c>
      <c r="AM28" s="48" t="str">
        <f aca="false">IF(I28="x",AM$4,"")</f>
        <v/>
      </c>
      <c r="AN28" s="48" t="n">
        <f aca="false">IF(J28="x",AN$4,"")</f>
        <v>3</v>
      </c>
      <c r="AO28" s="2"/>
      <c r="AP28" s="48" t="n">
        <f aca="false">COUNTIF(G28:J28,"=x")</f>
        <v>1</v>
      </c>
      <c r="AQ28" s="48" t="n">
        <f aca="false">IF(AP28&gt;0,AVERAGE(AK28:AN28),"")</f>
        <v>3</v>
      </c>
      <c r="AR28" s="48" t="n">
        <f aca="false">IF(AND(AP28&gt;0,U28=1),AQ28*R28,"")</f>
        <v>3</v>
      </c>
      <c r="AS28" s="2"/>
      <c r="AT28" s="48" t="n">
        <f aca="false">AI28*3</f>
        <v>3</v>
      </c>
      <c r="AV28" s="54"/>
      <c r="AW28" s="54"/>
    </row>
    <row r="29" customFormat="false" ht="12.8" hidden="false" customHeight="false" outlineLevel="1" collapsed="false">
      <c r="B29" s="70"/>
      <c r="C29" s="55" t="s">
        <v>44</v>
      </c>
      <c r="D29" s="56"/>
      <c r="E29" s="76"/>
      <c r="F29" s="34"/>
      <c r="G29" s="41"/>
      <c r="H29" s="41"/>
      <c r="I29" s="41"/>
      <c r="J29" s="59" t="s">
        <v>22</v>
      </c>
      <c r="K29" s="43" t="s">
        <v>23</v>
      </c>
      <c r="L29" s="43"/>
      <c r="M29" s="44" t="str">
        <f aca="false">IF(AND(U29=1,N29="",AR29&gt;0,AR29&lt;&gt;""),"TODO !","")</f>
        <v/>
      </c>
      <c r="N29" s="60" t="n">
        <v>9</v>
      </c>
      <c r="O29" s="61" t="s">
        <v>28</v>
      </c>
      <c r="P29" s="83"/>
      <c r="Q29" s="43"/>
      <c r="R29" s="47" t="n">
        <v>1</v>
      </c>
      <c r="S29" s="8"/>
      <c r="U29" s="48" t="n">
        <v>1</v>
      </c>
      <c r="V29" s="48" t="n">
        <v>1</v>
      </c>
      <c r="W29" s="26" t="str">
        <f aca="false">IF(AND(U29=1,V29=0),"Bonus","")</f>
        <v/>
      </c>
      <c r="X29" s="26"/>
      <c r="Y29" s="49" t="n">
        <f aca="false">IF(U29=1,AR29,"")</f>
        <v>3</v>
      </c>
      <c r="Z29" s="50"/>
      <c r="AA29" s="50"/>
      <c r="AB29" s="50"/>
      <c r="AC29" s="50"/>
      <c r="AD29" s="50"/>
      <c r="AE29" s="73"/>
      <c r="AG29" s="53"/>
      <c r="AH29" s="2"/>
      <c r="AI29" s="48" t="n">
        <f aca="false">U29*V29*R29</f>
        <v>1</v>
      </c>
      <c r="AJ29" s="2"/>
      <c r="AK29" s="48" t="str">
        <f aca="false">IF(G29="x",AK$4,"")</f>
        <v/>
      </c>
      <c r="AL29" s="48" t="str">
        <f aca="false">IF(H29="x",AL$4,"")</f>
        <v/>
      </c>
      <c r="AM29" s="48" t="str">
        <f aca="false">IF(I29="x",AM$4,"")</f>
        <v/>
      </c>
      <c r="AN29" s="48" t="n">
        <f aca="false">IF(J29="x",AN$4,"")</f>
        <v>3</v>
      </c>
      <c r="AO29" s="2"/>
      <c r="AP29" s="48" t="n">
        <f aca="false">COUNTIF(G29:J29,"=x")</f>
        <v>1</v>
      </c>
      <c r="AQ29" s="48" t="n">
        <f aca="false">IF(AP29&gt;0,AVERAGE(AK29:AN29),"")</f>
        <v>3</v>
      </c>
      <c r="AR29" s="48" t="n">
        <f aca="false">IF(AND(AP29&gt;0,U29=1),AQ29*R29,"")</f>
        <v>3</v>
      </c>
      <c r="AS29" s="2"/>
      <c r="AT29" s="48" t="n">
        <f aca="false">AI29*3</f>
        <v>3</v>
      </c>
      <c r="AV29" s="54"/>
      <c r="AW29" s="54"/>
    </row>
    <row r="30" customFormat="false" ht="13.2" hidden="false" customHeight="false" outlineLevel="1" collapsed="false">
      <c r="G30" s="78"/>
      <c r="H30" s="78"/>
      <c r="I30" s="78"/>
      <c r="J30" s="78"/>
      <c r="M30" s="89"/>
      <c r="N30" s="90"/>
      <c r="O30" s="46"/>
      <c r="U30" s="2"/>
      <c r="V30" s="2"/>
      <c r="W30" s="26"/>
      <c r="X30" s="26"/>
      <c r="Y30" s="65" t="str">
        <f aca="false">IF(U30=1,AR30,"")</f>
        <v/>
      </c>
      <c r="Z30" s="80"/>
      <c r="AA30" s="80"/>
      <c r="AB30" s="80"/>
      <c r="AC30" s="80"/>
      <c r="AD30" s="80"/>
      <c r="AE30" s="73"/>
      <c r="AH30" s="2"/>
      <c r="AI30" s="2"/>
      <c r="AJ30" s="2"/>
      <c r="AK30" s="2" t="str">
        <f aca="false">IF(G30="x",AK$4,"")</f>
        <v/>
      </c>
      <c r="AL30" s="2" t="str">
        <f aca="false">IF(H30="x",AL$4,"")</f>
        <v/>
      </c>
      <c r="AM30" s="2" t="str">
        <f aca="false">IF(I30="x",AM$4,"")</f>
        <v/>
      </c>
      <c r="AN30" s="2" t="str">
        <f aca="false">IF(J30="x",AN$4,"")</f>
        <v/>
      </c>
      <c r="AO30" s="2"/>
      <c r="AP30" s="2"/>
      <c r="AQ30" s="2" t="str">
        <f aca="false">IF(AP30&gt;0,AVERAGE(AK30:AN30),"")</f>
        <v/>
      </c>
      <c r="AR30" s="2"/>
      <c r="AS30" s="2"/>
      <c r="AT30" s="2"/>
    </row>
    <row r="31" customFormat="false" ht="13.2" hidden="false" customHeight="false" outlineLevel="0" collapsed="false">
      <c r="G31" s="78"/>
      <c r="H31" s="78"/>
      <c r="I31" s="78"/>
      <c r="J31" s="78"/>
      <c r="M31" s="44"/>
      <c r="U31" s="2"/>
      <c r="V31" s="2"/>
      <c r="W31" s="26"/>
      <c r="X31" s="26"/>
      <c r="Y31" s="65" t="str">
        <f aca="false">IF(U31=1,AR31,"")</f>
        <v/>
      </c>
      <c r="Z31" s="80"/>
      <c r="AA31" s="80"/>
      <c r="AB31" s="80"/>
      <c r="AC31" s="80"/>
      <c r="AD31" s="80"/>
      <c r="AE31" s="73"/>
      <c r="AH31" s="2"/>
      <c r="AI31" s="2"/>
      <c r="AJ31" s="2"/>
      <c r="AK31" s="2" t="str">
        <f aca="false">IF(G31="x",AK$4,"")</f>
        <v/>
      </c>
      <c r="AL31" s="2" t="str">
        <f aca="false">IF(H31="x",AL$4,"")</f>
        <v/>
      </c>
      <c r="AM31" s="2" t="str">
        <f aca="false">IF(I31="x",AM$4,"")</f>
        <v/>
      </c>
      <c r="AN31" s="2" t="str">
        <f aca="false">IF(J31="x",AN$4,"")</f>
        <v/>
      </c>
      <c r="AO31" s="2"/>
      <c r="AP31" s="2"/>
      <c r="AQ31" s="2" t="str">
        <f aca="false">IF(AP31&gt;0,AVERAGE(AK31:AN31),"")</f>
        <v/>
      </c>
      <c r="AR31" s="2"/>
      <c r="AS31" s="2"/>
      <c r="AT31" s="2"/>
    </row>
    <row r="32" customFormat="false" ht="13.2" hidden="false" customHeight="true" outlineLevel="0" collapsed="false">
      <c r="B32" s="91" t="s">
        <v>46</v>
      </c>
      <c r="C32" s="38" t="s">
        <v>47</v>
      </c>
      <c r="D32" s="39" t="s">
        <v>48</v>
      </c>
      <c r="E32" s="92" t="s">
        <v>49</v>
      </c>
      <c r="F32" s="34"/>
      <c r="G32" s="41"/>
      <c r="H32" s="41"/>
      <c r="I32" s="42"/>
      <c r="J32" s="41" t="s">
        <v>22</v>
      </c>
      <c r="K32" s="43" t="s">
        <v>23</v>
      </c>
      <c r="L32" s="43"/>
      <c r="M32" s="44"/>
      <c r="N32" s="43"/>
      <c r="O32" s="43"/>
      <c r="P32" s="43"/>
      <c r="Q32" s="43"/>
      <c r="R32" s="77" t="n">
        <v>1</v>
      </c>
      <c r="S32" s="8" t="n">
        <f aca="false">SUM(R32:R44)</f>
        <v>22</v>
      </c>
      <c r="U32" s="48" t="n">
        <v>1</v>
      </c>
      <c r="V32" s="48" t="n">
        <v>1</v>
      </c>
      <c r="W32" s="26" t="str">
        <f aca="false">IF(AND(U32=1,V32=0),"Bonus","")</f>
        <v/>
      </c>
      <c r="X32" s="26"/>
      <c r="Y32" s="49" t="n">
        <f aca="false">IF(U32=1,AR32,"")</f>
        <v>3</v>
      </c>
      <c r="Z32" s="50"/>
      <c r="AA32" s="50"/>
      <c r="AB32" s="50"/>
      <c r="AC32" s="50"/>
      <c r="AD32" s="50"/>
      <c r="AE32" s="73"/>
      <c r="AG32" s="53" t="s">
        <v>50</v>
      </c>
      <c r="AH32" s="2"/>
      <c r="AI32" s="48" t="n">
        <f aca="false">U32*V32*R32</f>
        <v>1</v>
      </c>
      <c r="AJ32" s="2"/>
      <c r="AK32" s="48" t="str">
        <f aca="false">IF(G32="x",AK$4,"")</f>
        <v/>
      </c>
      <c r="AL32" s="48" t="str">
        <f aca="false">IF(H32="x",AL$4,"")</f>
        <v/>
      </c>
      <c r="AM32" s="48" t="str">
        <f aca="false">IF(I32="x",AM$4,"")</f>
        <v/>
      </c>
      <c r="AN32" s="48" t="n">
        <f aca="false">IF(J32="x",AN$4,"")</f>
        <v>3</v>
      </c>
      <c r="AO32" s="2"/>
      <c r="AP32" s="48" t="n">
        <f aca="false">COUNTIF(G32:J32,"=x")</f>
        <v>1</v>
      </c>
      <c r="AQ32" s="48" t="n">
        <f aca="false">IF(AP32&gt;0,AVERAGE(AK32:AN32),"")</f>
        <v>3</v>
      </c>
      <c r="AR32" s="48" t="n">
        <f aca="false">IF(AND(AP32&gt;0,U32=1),AQ32*R32,"")</f>
        <v>3</v>
      </c>
      <c r="AS32" s="2"/>
      <c r="AT32" s="48" t="n">
        <f aca="false">AI32*3</f>
        <v>3</v>
      </c>
      <c r="AV32" s="54" t="n">
        <f aca="false">SUM(AR32:AR44)</f>
        <v>66</v>
      </c>
      <c r="AW32" s="54" t="n">
        <f aca="false">SUM(AT32:AT44)</f>
        <v>66</v>
      </c>
    </row>
    <row r="33" customFormat="false" ht="13.2" hidden="false" customHeight="false" outlineLevel="0" collapsed="false">
      <c r="B33" s="91"/>
      <c r="C33" s="82"/>
      <c r="D33" s="34" t="s">
        <v>48</v>
      </c>
      <c r="E33" s="93" t="s">
        <v>51</v>
      </c>
      <c r="F33" s="34"/>
      <c r="G33" s="41"/>
      <c r="H33" s="41"/>
      <c r="I33" s="42"/>
      <c r="J33" s="41" t="s">
        <v>22</v>
      </c>
      <c r="K33" s="43" t="s">
        <v>23</v>
      </c>
      <c r="L33" s="43"/>
      <c r="M33" s="44"/>
      <c r="N33" s="43"/>
      <c r="O33" s="43"/>
      <c r="P33" s="43"/>
      <c r="Q33" s="43"/>
      <c r="R33" s="77" t="n">
        <v>4</v>
      </c>
      <c r="S33" s="8"/>
      <c r="U33" s="48" t="n">
        <v>1</v>
      </c>
      <c r="V33" s="48" t="n">
        <v>1</v>
      </c>
      <c r="W33" s="26" t="str">
        <f aca="false">IF(AND(U33=1,V33=0),"Bonus","")</f>
        <v/>
      </c>
      <c r="X33" s="26"/>
      <c r="Y33" s="49" t="n">
        <f aca="false">IF(U33=1,AR33,"")</f>
        <v>12</v>
      </c>
      <c r="Z33" s="50"/>
      <c r="AA33" s="50"/>
      <c r="AB33" s="50"/>
      <c r="AC33" s="50"/>
      <c r="AD33" s="50"/>
      <c r="AE33" s="73"/>
      <c r="AG33" s="53"/>
      <c r="AH33" s="2"/>
      <c r="AI33" s="48" t="n">
        <f aca="false">U33*V33*R33</f>
        <v>4</v>
      </c>
      <c r="AJ33" s="2"/>
      <c r="AK33" s="48" t="str">
        <f aca="false">IF(G33="x",AK$4,"")</f>
        <v/>
      </c>
      <c r="AL33" s="48" t="str">
        <f aca="false">IF(H33="x",AL$4,"")</f>
        <v/>
      </c>
      <c r="AM33" s="48" t="str">
        <f aca="false">IF(I33="x",AM$4,"")</f>
        <v/>
      </c>
      <c r="AN33" s="48" t="n">
        <f aca="false">IF(J33="x",AN$4,"")</f>
        <v>3</v>
      </c>
      <c r="AO33" s="2"/>
      <c r="AP33" s="48" t="n">
        <f aca="false">COUNTIF(G33:J33,"=x")</f>
        <v>1</v>
      </c>
      <c r="AQ33" s="48" t="n">
        <f aca="false">IF(AP33&gt;0,AVERAGE(AK33:AN33),"")</f>
        <v>3</v>
      </c>
      <c r="AR33" s="48" t="n">
        <f aca="false">IF(AND(AP33&gt;0,U33=1),AQ33*R33,"")</f>
        <v>12</v>
      </c>
      <c r="AS33" s="2"/>
      <c r="AT33" s="48" t="n">
        <f aca="false">AI33*3</f>
        <v>12</v>
      </c>
      <c r="AV33" s="54"/>
      <c r="AW33" s="54"/>
    </row>
    <row r="34" customFormat="false" ht="13.2" hidden="false" customHeight="false" outlineLevel="0" collapsed="false">
      <c r="B34" s="91"/>
      <c r="C34" s="82"/>
      <c r="D34" s="34"/>
      <c r="E34" s="93"/>
      <c r="F34" s="34"/>
      <c r="G34" s="63"/>
      <c r="H34" s="63"/>
      <c r="I34" s="63"/>
      <c r="J34" s="63"/>
      <c r="K34" s="43"/>
      <c r="L34" s="43"/>
      <c r="M34" s="44"/>
      <c r="N34" s="43"/>
      <c r="O34" s="43"/>
      <c r="P34" s="43"/>
      <c r="Q34" s="43"/>
      <c r="R34" s="21"/>
      <c r="S34" s="8"/>
      <c r="U34" s="2"/>
      <c r="V34" s="2"/>
      <c r="W34" s="26"/>
      <c r="X34" s="26"/>
      <c r="Y34" s="65"/>
      <c r="Z34" s="50"/>
      <c r="AA34" s="50"/>
      <c r="AB34" s="50"/>
      <c r="AC34" s="50"/>
      <c r="AD34" s="50"/>
      <c r="AE34" s="73"/>
      <c r="AG34" s="53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V34" s="54"/>
      <c r="AW34" s="54"/>
    </row>
    <row r="35" customFormat="false" ht="13.2" hidden="false" customHeight="false" outlineLevel="0" collapsed="false">
      <c r="B35" s="91"/>
      <c r="C35" s="82" t="s">
        <v>47</v>
      </c>
      <c r="D35" s="34" t="s">
        <v>48</v>
      </c>
      <c r="E35" s="94" t="s">
        <v>52</v>
      </c>
      <c r="F35" s="34"/>
      <c r="G35" s="41"/>
      <c r="H35" s="41"/>
      <c r="I35" s="41"/>
      <c r="J35" s="59" t="s">
        <v>22</v>
      </c>
      <c r="K35" s="43" t="s">
        <v>23</v>
      </c>
      <c r="L35" s="43"/>
      <c r="M35" s="44" t="str">
        <f aca="false">IF(AND(U35=1,N35="",AR35&gt;0,AR35&lt;&gt;""),"TODO !","")</f>
        <v/>
      </c>
      <c r="N35" s="60" t="n">
        <v>14</v>
      </c>
      <c r="O35" s="61" t="s">
        <v>28</v>
      </c>
      <c r="P35" s="43"/>
      <c r="Q35" s="43"/>
      <c r="R35" s="47" t="n">
        <v>1</v>
      </c>
      <c r="S35" s="8"/>
      <c r="U35" s="48" t="n">
        <v>1</v>
      </c>
      <c r="V35" s="48" t="n">
        <v>1</v>
      </c>
      <c r="W35" s="26" t="str">
        <f aca="false">IF(AND(U35=1,V35=0),"Bonus","")</f>
        <v/>
      </c>
      <c r="X35" s="26"/>
      <c r="Y35" s="49" t="n">
        <f aca="false">IF(U35=1,AR35,"")</f>
        <v>3</v>
      </c>
      <c r="Z35" s="50"/>
      <c r="AA35" s="50"/>
      <c r="AB35" s="50"/>
      <c r="AC35" s="50"/>
      <c r="AD35" s="50"/>
      <c r="AE35" s="73"/>
      <c r="AG35" s="53"/>
      <c r="AH35" s="2"/>
      <c r="AI35" s="48" t="n">
        <f aca="false">U35*V35*R35</f>
        <v>1</v>
      </c>
      <c r="AJ35" s="2"/>
      <c r="AK35" s="48" t="str">
        <f aca="false">IF(G35="x",AK$4,"")</f>
        <v/>
      </c>
      <c r="AL35" s="48" t="str">
        <f aca="false">IF(H35="x",AL$4,"")</f>
        <v/>
      </c>
      <c r="AM35" s="48" t="str">
        <f aca="false">IF(I35="x",AM$4,"")</f>
        <v/>
      </c>
      <c r="AN35" s="48" t="n">
        <f aca="false">IF(J35="x",AN$4,"")</f>
        <v>3</v>
      </c>
      <c r="AO35" s="2"/>
      <c r="AP35" s="48" t="n">
        <f aca="false">COUNTIF(G35:J35,"=x")</f>
        <v>1</v>
      </c>
      <c r="AQ35" s="48" t="n">
        <f aca="false">IF(AP35&gt;0,AVERAGE(AK35:AN35),"")</f>
        <v>3</v>
      </c>
      <c r="AR35" s="48" t="n">
        <f aca="false">IF(AND(AP35&gt;0,U35=1),AQ35*R35,"")</f>
        <v>3</v>
      </c>
      <c r="AS35" s="2"/>
      <c r="AT35" s="48" t="n">
        <f aca="false">AI35*3</f>
        <v>3</v>
      </c>
      <c r="AV35" s="54"/>
      <c r="AW35" s="54"/>
    </row>
    <row r="36" customFormat="false" ht="13.2" hidden="false" customHeight="false" outlineLevel="0" collapsed="false">
      <c r="B36" s="91"/>
      <c r="C36" s="82"/>
      <c r="D36" s="34" t="s">
        <v>48</v>
      </c>
      <c r="E36" s="94" t="s">
        <v>53</v>
      </c>
      <c r="F36" s="34"/>
      <c r="G36" s="41"/>
      <c r="H36" s="41"/>
      <c r="I36" s="41"/>
      <c r="J36" s="59" t="s">
        <v>22</v>
      </c>
      <c r="K36" s="43" t="s">
        <v>23</v>
      </c>
      <c r="L36" s="43"/>
      <c r="M36" s="44" t="str">
        <f aca="false">IF(AND(U36=1,N36="",AR36&gt;0,AR36&lt;&gt;""),"TODO !","")</f>
        <v/>
      </c>
      <c r="N36" s="60" t="n">
        <v>12</v>
      </c>
      <c r="O36" s="61" t="s">
        <v>28</v>
      </c>
      <c r="P36" s="43"/>
      <c r="Q36" s="43"/>
      <c r="R36" s="47" t="n">
        <v>2</v>
      </c>
      <c r="S36" s="8"/>
      <c r="U36" s="48" t="n">
        <v>1</v>
      </c>
      <c r="V36" s="48" t="n">
        <v>1</v>
      </c>
      <c r="W36" s="26" t="str">
        <f aca="false">IF(AND(U36=1,V36=0),"Bonus","")</f>
        <v/>
      </c>
      <c r="X36" s="26"/>
      <c r="Y36" s="49" t="n">
        <f aca="false">IF(U36=1,AR36,"")</f>
        <v>6</v>
      </c>
      <c r="Z36" s="50"/>
      <c r="AA36" s="50"/>
      <c r="AB36" s="50"/>
      <c r="AC36" s="50"/>
      <c r="AD36" s="50"/>
      <c r="AE36" s="73"/>
      <c r="AG36" s="53"/>
      <c r="AH36" s="2"/>
      <c r="AI36" s="48" t="n">
        <f aca="false">U36*V36*R36</f>
        <v>2</v>
      </c>
      <c r="AJ36" s="2"/>
      <c r="AK36" s="48" t="str">
        <f aca="false">IF(G36="x",AK$4,"")</f>
        <v/>
      </c>
      <c r="AL36" s="48" t="str">
        <f aca="false">IF(H36="x",AL$4,"")</f>
        <v/>
      </c>
      <c r="AM36" s="48" t="str">
        <f aca="false">IF(I36="x",AM$4,"")</f>
        <v/>
      </c>
      <c r="AN36" s="48" t="n">
        <f aca="false">IF(J36="x",AN$4,"")</f>
        <v>3</v>
      </c>
      <c r="AO36" s="2"/>
      <c r="AP36" s="48" t="n">
        <f aca="false">COUNTIF(G36:J36,"=x")</f>
        <v>1</v>
      </c>
      <c r="AQ36" s="48" t="n">
        <f aca="false">IF(AP36&gt;0,AVERAGE(AK36:AN36),"")</f>
        <v>3</v>
      </c>
      <c r="AR36" s="48" t="n">
        <f aca="false">IF(AND(AP36&gt;0,U36=1),AQ36*R36,"")</f>
        <v>6</v>
      </c>
      <c r="AS36" s="2"/>
      <c r="AT36" s="48" t="n">
        <f aca="false">AI36*3</f>
        <v>6</v>
      </c>
      <c r="AV36" s="54"/>
      <c r="AW36" s="54"/>
    </row>
    <row r="37" customFormat="false" ht="13.2" hidden="false" customHeight="false" outlineLevel="0" collapsed="false">
      <c r="B37" s="91"/>
      <c r="C37" s="95"/>
      <c r="E37" s="96"/>
      <c r="F37" s="34"/>
      <c r="G37" s="78"/>
      <c r="H37" s="78"/>
      <c r="I37" s="78"/>
      <c r="J37" s="63"/>
      <c r="K37" s="43"/>
      <c r="L37" s="43"/>
      <c r="M37" s="44"/>
      <c r="N37" s="43"/>
      <c r="O37" s="43"/>
      <c r="P37" s="43"/>
      <c r="Q37" s="43"/>
      <c r="R37" s="21"/>
      <c r="S37" s="8"/>
      <c r="W37" s="26"/>
      <c r="X37" s="26"/>
      <c r="Y37" s="65"/>
      <c r="Z37" s="50"/>
      <c r="AA37" s="50"/>
      <c r="AB37" s="50"/>
      <c r="AC37" s="50"/>
      <c r="AD37" s="50"/>
      <c r="AE37" s="73"/>
      <c r="AG37" s="53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V37" s="54"/>
      <c r="AW37" s="54"/>
    </row>
    <row r="38" customFormat="false" ht="12.8" hidden="false" customHeight="false" outlineLevel="0" collapsed="false">
      <c r="B38" s="91"/>
      <c r="C38" s="82" t="s">
        <v>54</v>
      </c>
      <c r="D38" s="34" t="s">
        <v>48</v>
      </c>
      <c r="E38" s="93" t="s">
        <v>49</v>
      </c>
      <c r="F38" s="50"/>
      <c r="G38" s="41"/>
      <c r="H38" s="41"/>
      <c r="I38" s="42"/>
      <c r="J38" s="41" t="s">
        <v>22</v>
      </c>
      <c r="K38" s="43" t="s">
        <v>23</v>
      </c>
      <c r="L38" s="43"/>
      <c r="M38" s="44"/>
      <c r="N38" s="43"/>
      <c r="O38" s="43"/>
      <c r="P38" s="43"/>
      <c r="Q38" s="43"/>
      <c r="R38" s="47" t="n">
        <v>1</v>
      </c>
      <c r="S38" s="8"/>
      <c r="U38" s="48" t="n">
        <v>1</v>
      </c>
      <c r="V38" s="48" t="n">
        <v>1</v>
      </c>
      <c r="W38" s="26" t="str">
        <f aca="false">IF(AND(U38=1,V38=0),"Bonus","")</f>
        <v/>
      </c>
      <c r="X38" s="26"/>
      <c r="Y38" s="49" t="n">
        <f aca="false">IF(U38=1,AR38,"")</f>
        <v>3</v>
      </c>
      <c r="Z38" s="50"/>
      <c r="AA38" s="50"/>
      <c r="AB38" s="50"/>
      <c r="AC38" s="50"/>
      <c r="AD38" s="50"/>
      <c r="AE38" s="73"/>
      <c r="AG38" s="53"/>
      <c r="AH38" s="2"/>
      <c r="AI38" s="48" t="n">
        <f aca="false">U38*V38*R38</f>
        <v>1</v>
      </c>
      <c r="AJ38" s="2"/>
      <c r="AK38" s="48" t="str">
        <f aca="false">IF(G38="x",AK$4,"")</f>
        <v/>
      </c>
      <c r="AL38" s="48" t="str">
        <f aca="false">IF(H38="x",AL$4,"")</f>
        <v/>
      </c>
      <c r="AM38" s="48" t="str">
        <f aca="false">IF(I38="x",AM$4,"")</f>
        <v/>
      </c>
      <c r="AN38" s="48" t="n">
        <f aca="false">IF(J38="x",AN$4,"")</f>
        <v>3</v>
      </c>
      <c r="AO38" s="2"/>
      <c r="AP38" s="48" t="n">
        <f aca="false">COUNTIF(G38:J38,"=x")</f>
        <v>1</v>
      </c>
      <c r="AQ38" s="48" t="n">
        <f aca="false">IF(AP38&gt;0,AVERAGE(AK38:AN38),"")</f>
        <v>3</v>
      </c>
      <c r="AR38" s="48" t="n">
        <f aca="false">IF(AND(AP38&gt;0,U38=1),AQ38*R38,"")</f>
        <v>3</v>
      </c>
      <c r="AS38" s="2"/>
      <c r="AT38" s="48" t="n">
        <f aca="false">AI38*3</f>
        <v>3</v>
      </c>
      <c r="AV38" s="54"/>
      <c r="AW38" s="54"/>
    </row>
    <row r="39" customFormat="false" ht="13.2" hidden="false" customHeight="false" outlineLevel="0" collapsed="false">
      <c r="B39" s="91"/>
      <c r="C39" s="82"/>
      <c r="D39" s="34" t="s">
        <v>48</v>
      </c>
      <c r="E39" s="93" t="s">
        <v>51</v>
      </c>
      <c r="F39" s="50"/>
      <c r="G39" s="41"/>
      <c r="H39" s="41"/>
      <c r="I39" s="42"/>
      <c r="J39" s="41" t="s">
        <v>22</v>
      </c>
      <c r="K39" s="43" t="s">
        <v>23</v>
      </c>
      <c r="L39" s="43"/>
      <c r="M39" s="44"/>
      <c r="N39" s="43"/>
      <c r="O39" s="43"/>
      <c r="P39" s="43"/>
      <c r="Q39" s="43"/>
      <c r="R39" s="47" t="n">
        <v>4</v>
      </c>
      <c r="S39" s="8"/>
      <c r="U39" s="48" t="n">
        <v>1</v>
      </c>
      <c r="V39" s="48" t="n">
        <v>1</v>
      </c>
      <c r="W39" s="26" t="str">
        <f aca="false">IF(AND(U39=1,V39=0),"Bonus","")</f>
        <v/>
      </c>
      <c r="X39" s="26"/>
      <c r="Y39" s="49" t="n">
        <f aca="false">IF(U39=1,AR39,"")</f>
        <v>12</v>
      </c>
      <c r="Z39" s="50"/>
      <c r="AA39" s="50"/>
      <c r="AB39" s="50"/>
      <c r="AC39" s="50"/>
      <c r="AD39" s="50"/>
      <c r="AE39" s="73"/>
      <c r="AG39" s="53"/>
      <c r="AH39" s="2"/>
      <c r="AI39" s="48" t="n">
        <f aca="false">U39*V39*R39</f>
        <v>4</v>
      </c>
      <c r="AJ39" s="2"/>
      <c r="AK39" s="48" t="str">
        <f aca="false">IF(G39="x",AK$4,"")</f>
        <v/>
      </c>
      <c r="AL39" s="48" t="str">
        <f aca="false">IF(H39="x",AL$4,"")</f>
        <v/>
      </c>
      <c r="AM39" s="48" t="str">
        <f aca="false">IF(I39="x",AM$4,"")</f>
        <v/>
      </c>
      <c r="AN39" s="48" t="n">
        <f aca="false">IF(J39="x",AN$4,"")</f>
        <v>3</v>
      </c>
      <c r="AO39" s="2"/>
      <c r="AP39" s="48" t="n">
        <f aca="false">COUNTIF(G39:J39,"=x")</f>
        <v>1</v>
      </c>
      <c r="AQ39" s="48" t="n">
        <f aca="false">IF(AP39&gt;0,AVERAGE(AK39:AN39),"")</f>
        <v>3</v>
      </c>
      <c r="AR39" s="48" t="n">
        <f aca="false">IF(AND(AP39&gt;0,U39=1),AQ39*R39,"")</f>
        <v>12</v>
      </c>
      <c r="AS39" s="2"/>
      <c r="AT39" s="48" t="n">
        <f aca="false">AI39*3</f>
        <v>12</v>
      </c>
      <c r="AV39" s="54"/>
      <c r="AW39" s="54"/>
    </row>
    <row r="40" customFormat="false" ht="13.2" hidden="false" customHeight="false" outlineLevel="0" collapsed="false">
      <c r="B40" s="91"/>
      <c r="C40" s="82"/>
      <c r="D40" s="34" t="s">
        <v>55</v>
      </c>
      <c r="E40" s="93" t="s">
        <v>51</v>
      </c>
      <c r="F40" s="50"/>
      <c r="G40" s="41"/>
      <c r="H40" s="41"/>
      <c r="I40" s="42"/>
      <c r="J40" s="41" t="s">
        <v>22</v>
      </c>
      <c r="K40" s="43" t="s">
        <v>23</v>
      </c>
      <c r="L40" s="43"/>
      <c r="M40" s="44"/>
      <c r="N40" s="43"/>
      <c r="O40" s="43"/>
      <c r="P40" s="43"/>
      <c r="Q40" s="43"/>
      <c r="R40" s="47" t="n">
        <v>2</v>
      </c>
      <c r="S40" s="8"/>
      <c r="U40" s="48" t="n">
        <v>1</v>
      </c>
      <c r="V40" s="48" t="n">
        <v>1</v>
      </c>
      <c r="W40" s="26" t="str">
        <f aca="false">IF(AND(U40=1,V40=0),"Bonus","")</f>
        <v/>
      </c>
      <c r="X40" s="26"/>
      <c r="Y40" s="49" t="n">
        <f aca="false">IF(U40=1,AR40,"")</f>
        <v>6</v>
      </c>
      <c r="Z40" s="50"/>
      <c r="AA40" s="50"/>
      <c r="AB40" s="50"/>
      <c r="AC40" s="50"/>
      <c r="AD40" s="50"/>
      <c r="AE40" s="73"/>
      <c r="AG40" s="53"/>
      <c r="AH40" s="2"/>
      <c r="AI40" s="48" t="n">
        <f aca="false">U40*V40*R40</f>
        <v>2</v>
      </c>
      <c r="AJ40" s="2"/>
      <c r="AK40" s="48" t="str">
        <f aca="false">IF(G40="x",AK$4,"")</f>
        <v/>
      </c>
      <c r="AL40" s="48" t="str">
        <f aca="false">IF(H40="x",AL$4,"")</f>
        <v/>
      </c>
      <c r="AM40" s="48" t="str">
        <f aca="false">IF(I40="x",AM$4,"")</f>
        <v/>
      </c>
      <c r="AN40" s="48" t="n">
        <f aca="false">IF(J40="x",AN$4,"")</f>
        <v>3</v>
      </c>
      <c r="AO40" s="2"/>
      <c r="AP40" s="48" t="n">
        <f aca="false">COUNTIF(G40:J40,"=x")</f>
        <v>1</v>
      </c>
      <c r="AQ40" s="48" t="n">
        <f aca="false">IF(AP40&gt;0,AVERAGE(AK40:AN40),"")</f>
        <v>3</v>
      </c>
      <c r="AR40" s="48" t="n">
        <f aca="false">IF(AND(AP40&gt;0,U40=1),AQ40*R40,"")</f>
        <v>6</v>
      </c>
      <c r="AS40" s="2"/>
      <c r="AT40" s="48" t="n">
        <f aca="false">AI40*3</f>
        <v>6</v>
      </c>
      <c r="AV40" s="54"/>
      <c r="AW40" s="54"/>
    </row>
    <row r="41" customFormat="false" ht="13.2" hidden="false" customHeight="false" outlineLevel="0" collapsed="false">
      <c r="B41" s="91"/>
      <c r="C41" s="82"/>
      <c r="D41" s="34"/>
      <c r="E41" s="93"/>
      <c r="F41" s="34"/>
      <c r="G41" s="63"/>
      <c r="H41" s="63"/>
      <c r="I41" s="63"/>
      <c r="J41" s="63"/>
      <c r="K41" s="43"/>
      <c r="L41" s="43"/>
      <c r="M41" s="44"/>
      <c r="N41" s="43"/>
      <c r="O41" s="43"/>
      <c r="P41" s="43"/>
      <c r="Q41" s="43"/>
      <c r="R41" s="21"/>
      <c r="S41" s="8"/>
      <c r="U41" s="2"/>
      <c r="V41" s="2"/>
      <c r="W41" s="26"/>
      <c r="X41" s="26"/>
      <c r="Y41" s="65"/>
      <c r="Z41" s="50"/>
      <c r="AA41" s="50"/>
      <c r="AB41" s="50"/>
      <c r="AC41" s="50"/>
      <c r="AD41" s="50"/>
      <c r="AE41" s="73"/>
      <c r="AG41" s="53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V41" s="54"/>
      <c r="AW41" s="54"/>
    </row>
    <row r="42" customFormat="false" ht="13.2" hidden="false" customHeight="false" outlineLevel="0" collapsed="false">
      <c r="B42" s="91"/>
      <c r="C42" s="82" t="s">
        <v>54</v>
      </c>
      <c r="D42" s="34" t="s">
        <v>48</v>
      </c>
      <c r="E42" s="94" t="s">
        <v>52</v>
      </c>
      <c r="F42" s="34"/>
      <c r="G42" s="41"/>
      <c r="H42" s="41"/>
      <c r="I42" s="41"/>
      <c r="J42" s="59" t="s">
        <v>22</v>
      </c>
      <c r="K42" s="43" t="s">
        <v>23</v>
      </c>
      <c r="L42" s="43"/>
      <c r="M42" s="44" t="str">
        <f aca="false">IF(AND(U42=1,N42="",AR42&gt;0,AR42&lt;&gt;""),"TODO !","")</f>
        <v/>
      </c>
      <c r="N42" s="60" t="n">
        <v>14</v>
      </c>
      <c r="O42" s="61" t="s">
        <v>28</v>
      </c>
      <c r="P42" s="43"/>
      <c r="Q42" s="43"/>
      <c r="R42" s="77" t="n">
        <v>1</v>
      </c>
      <c r="S42" s="8"/>
      <c r="U42" s="48" t="n">
        <v>1</v>
      </c>
      <c r="V42" s="48" t="n">
        <v>1</v>
      </c>
      <c r="W42" s="26" t="str">
        <f aca="false">IF(AND(U42=1,V42=0),"Bonus","")</f>
        <v/>
      </c>
      <c r="X42" s="26"/>
      <c r="Y42" s="49" t="n">
        <f aca="false">IF(U42=1,AR42,"")</f>
        <v>3</v>
      </c>
      <c r="Z42" s="50"/>
      <c r="AA42" s="50"/>
      <c r="AB42" s="50"/>
      <c r="AC42" s="50"/>
      <c r="AD42" s="50"/>
      <c r="AE42" s="73"/>
      <c r="AG42" s="53"/>
      <c r="AH42" s="2"/>
      <c r="AI42" s="48" t="n">
        <f aca="false">U42*V42*R42</f>
        <v>1</v>
      </c>
      <c r="AJ42" s="2"/>
      <c r="AK42" s="48" t="str">
        <f aca="false">IF(G42="x",AK$4,"")</f>
        <v/>
      </c>
      <c r="AL42" s="48" t="str">
        <f aca="false">IF(H42="x",AL$4,"")</f>
        <v/>
      </c>
      <c r="AM42" s="48" t="str">
        <f aca="false">IF(I42="x",AM$4,"")</f>
        <v/>
      </c>
      <c r="AN42" s="48" t="n">
        <f aca="false">IF(J42="x",AN$4,"")</f>
        <v>3</v>
      </c>
      <c r="AO42" s="2"/>
      <c r="AP42" s="48" t="n">
        <f aca="false">COUNTIF(G42:J42,"=x")</f>
        <v>1</v>
      </c>
      <c r="AQ42" s="48" t="n">
        <f aca="false">IF(AP42&gt;0,AVERAGE(AK42:AN42),"")</f>
        <v>3</v>
      </c>
      <c r="AR42" s="48" t="n">
        <f aca="false">IF(AND(AP42&gt;0,U42=1),AQ42*R42,"")</f>
        <v>3</v>
      </c>
      <c r="AS42" s="2"/>
      <c r="AT42" s="48" t="n">
        <f aca="false">AI42*3</f>
        <v>3</v>
      </c>
      <c r="AV42" s="54"/>
      <c r="AW42" s="54"/>
    </row>
    <row r="43" customFormat="false" ht="13.2" hidden="false" customHeight="false" outlineLevel="0" collapsed="false">
      <c r="B43" s="91"/>
      <c r="C43" s="82"/>
      <c r="D43" s="34" t="s">
        <v>48</v>
      </c>
      <c r="E43" s="94" t="s">
        <v>53</v>
      </c>
      <c r="F43" s="34"/>
      <c r="G43" s="41"/>
      <c r="H43" s="41"/>
      <c r="I43" s="41"/>
      <c r="J43" s="59" t="s">
        <v>22</v>
      </c>
      <c r="K43" s="43" t="s">
        <v>23</v>
      </c>
      <c r="L43" s="43"/>
      <c r="M43" s="44" t="str">
        <f aca="false">IF(AND(U43=1,N43="",AR43&gt;0,AR43&lt;&gt;""),"TODO !","")</f>
        <v/>
      </c>
      <c r="N43" s="60" t="n">
        <v>12</v>
      </c>
      <c r="O43" s="61" t="s">
        <v>28</v>
      </c>
      <c r="P43" s="43"/>
      <c r="Q43" s="43"/>
      <c r="R43" s="77" t="n">
        <v>2</v>
      </c>
      <c r="S43" s="8"/>
      <c r="U43" s="48" t="n">
        <v>1</v>
      </c>
      <c r="V43" s="48" t="n">
        <v>1</v>
      </c>
      <c r="W43" s="26" t="str">
        <f aca="false">IF(AND(U43=1,V43=0),"Bonus","")</f>
        <v/>
      </c>
      <c r="X43" s="26"/>
      <c r="Y43" s="49" t="n">
        <f aca="false">IF(U43=1,AR43,"")</f>
        <v>6</v>
      </c>
      <c r="Z43" s="50"/>
      <c r="AA43" s="50"/>
      <c r="AB43" s="50"/>
      <c r="AC43" s="50"/>
      <c r="AD43" s="50"/>
      <c r="AE43" s="73"/>
      <c r="AG43" s="53"/>
      <c r="AH43" s="2"/>
      <c r="AI43" s="48" t="n">
        <f aca="false">U43*V43*R43</f>
        <v>2</v>
      </c>
      <c r="AJ43" s="2"/>
      <c r="AK43" s="48" t="str">
        <f aca="false">IF(G43="x",AK$4,"")</f>
        <v/>
      </c>
      <c r="AL43" s="48" t="str">
        <f aca="false">IF(H43="x",AL$4,"")</f>
        <v/>
      </c>
      <c r="AM43" s="48" t="str">
        <f aca="false">IF(I43="x",AM$4,"")</f>
        <v/>
      </c>
      <c r="AN43" s="48" t="n">
        <f aca="false">IF(J43="x",AN$4,"")</f>
        <v>3</v>
      </c>
      <c r="AO43" s="2"/>
      <c r="AP43" s="48" t="n">
        <f aca="false">COUNTIF(G43:J43,"=x")</f>
        <v>1</v>
      </c>
      <c r="AQ43" s="48" t="n">
        <f aca="false">IF(AP43&gt;0,AVERAGE(AK43:AN43),"")</f>
        <v>3</v>
      </c>
      <c r="AR43" s="48" t="n">
        <f aca="false">IF(AND(AP43&gt;0,U43=1),AQ43*R43,"")</f>
        <v>6</v>
      </c>
      <c r="AS43" s="2"/>
      <c r="AT43" s="48" t="n">
        <f aca="false">AI43*3</f>
        <v>6</v>
      </c>
      <c r="AV43" s="54"/>
      <c r="AW43" s="54"/>
    </row>
    <row r="44" customFormat="false" ht="13.2" hidden="false" customHeight="false" outlineLevel="0" collapsed="false">
      <c r="B44" s="91"/>
      <c r="C44" s="55"/>
      <c r="D44" s="56" t="s">
        <v>55</v>
      </c>
      <c r="E44" s="97" t="s">
        <v>53</v>
      </c>
      <c r="F44" s="34"/>
      <c r="G44" s="41"/>
      <c r="H44" s="41"/>
      <c r="I44" s="41"/>
      <c r="J44" s="59" t="s">
        <v>22</v>
      </c>
      <c r="K44" s="43" t="s">
        <v>23</v>
      </c>
      <c r="L44" s="43"/>
      <c r="M44" s="44" t="str">
        <f aca="false">IF(AND(U44=1,N44="",AR44&gt;0,AR44&lt;&gt;""),"TODO !","")</f>
        <v/>
      </c>
      <c r="N44" s="60" t="n">
        <v>98</v>
      </c>
      <c r="O44" s="61" t="s">
        <v>28</v>
      </c>
      <c r="P44" s="43"/>
      <c r="Q44" s="43"/>
      <c r="R44" s="77" t="n">
        <v>4</v>
      </c>
      <c r="S44" s="8"/>
      <c r="U44" s="48" t="n">
        <v>1</v>
      </c>
      <c r="V44" s="48" t="n">
        <v>1</v>
      </c>
      <c r="W44" s="26" t="str">
        <f aca="false">IF(AND(U44=1,V44=0),"Bonus","")</f>
        <v/>
      </c>
      <c r="X44" s="26"/>
      <c r="Y44" s="49" t="n">
        <f aca="false">IF(U44=1,AR44,"")</f>
        <v>12</v>
      </c>
      <c r="Z44" s="50"/>
      <c r="AA44" s="50"/>
      <c r="AB44" s="50"/>
      <c r="AC44" s="50"/>
      <c r="AD44" s="50"/>
      <c r="AE44" s="73"/>
      <c r="AG44" s="53"/>
      <c r="AH44" s="2"/>
      <c r="AI44" s="48" t="n">
        <f aca="false">U44*V44*R44</f>
        <v>4</v>
      </c>
      <c r="AJ44" s="2"/>
      <c r="AK44" s="48" t="str">
        <f aca="false">IF(G44="x",AK$4,"")</f>
        <v/>
      </c>
      <c r="AL44" s="48" t="str">
        <f aca="false">IF(H44="x",AL$4,"")</f>
        <v/>
      </c>
      <c r="AM44" s="48" t="str">
        <f aca="false">IF(I44="x",AM$4,"")</f>
        <v/>
      </c>
      <c r="AN44" s="48" t="n">
        <f aca="false">IF(J44="x",AN$4,"")</f>
        <v>3</v>
      </c>
      <c r="AO44" s="2"/>
      <c r="AP44" s="48" t="n">
        <f aca="false">COUNTIF(G44:J44,"=x")</f>
        <v>1</v>
      </c>
      <c r="AQ44" s="48" t="n">
        <f aca="false">IF(AP44&gt;0,AVERAGE(AK44:AN44),"")</f>
        <v>3</v>
      </c>
      <c r="AR44" s="48" t="n">
        <f aca="false">IF(AND(AP44&gt;0,U44=1),AQ44*R44,"")</f>
        <v>12</v>
      </c>
      <c r="AS44" s="2"/>
      <c r="AT44" s="48" t="n">
        <f aca="false">AI44*3</f>
        <v>12</v>
      </c>
      <c r="AV44" s="54"/>
      <c r="AW44" s="54"/>
    </row>
    <row r="45" customFormat="false" ht="13.2" hidden="false" customHeight="false" outlineLevel="0" collapsed="false">
      <c r="G45" s="78"/>
      <c r="H45" s="78"/>
      <c r="I45" s="78"/>
      <c r="J45" s="78"/>
      <c r="M45" s="44"/>
      <c r="U45" s="2"/>
      <c r="V45" s="2"/>
      <c r="W45" s="26"/>
      <c r="X45" s="26"/>
      <c r="Y45" s="65" t="str">
        <f aca="false">IF(U45=1,AR45,"")</f>
        <v/>
      </c>
      <c r="Z45" s="80"/>
      <c r="AA45" s="80"/>
      <c r="AB45" s="80"/>
      <c r="AC45" s="80"/>
      <c r="AD45" s="80"/>
      <c r="AE45" s="73"/>
      <c r="AH45" s="2"/>
      <c r="AI45" s="2"/>
      <c r="AJ45" s="2"/>
      <c r="AK45" s="2" t="str">
        <f aca="false">IF(G45="x",AK$4,"")</f>
        <v/>
      </c>
      <c r="AL45" s="2" t="str">
        <f aca="false">IF(H45="x",AL$4,"")</f>
        <v/>
      </c>
      <c r="AM45" s="2" t="str">
        <f aca="false">IF(I45="x",AM$4,"")</f>
        <v/>
      </c>
      <c r="AN45" s="2" t="str">
        <f aca="false">IF(J45="x",AN$4,"")</f>
        <v/>
      </c>
      <c r="AO45" s="2"/>
      <c r="AP45" s="2"/>
      <c r="AQ45" s="2" t="str">
        <f aca="false">IF(AP45&gt;0,AVERAGE(AK45:AN45),"")</f>
        <v/>
      </c>
      <c r="AR45" s="2"/>
      <c r="AS45" s="2"/>
      <c r="AT45" s="2"/>
    </row>
    <row r="46" customFormat="false" ht="13.2" hidden="false" customHeight="false" outlineLevel="0" collapsed="false">
      <c r="B46" s="3"/>
      <c r="D46" s="34"/>
      <c r="G46" s="78"/>
      <c r="H46" s="78"/>
      <c r="I46" s="78"/>
      <c r="J46" s="78"/>
      <c r="M46" s="44"/>
      <c r="O46" s="98"/>
      <c r="P46" s="26" t="s">
        <v>29</v>
      </c>
      <c r="U46" s="2"/>
      <c r="V46" s="2"/>
      <c r="W46" s="26"/>
      <c r="X46" s="26"/>
      <c r="Y46" s="65" t="str">
        <f aca="false">IF(U46=1,AR46,"")</f>
        <v/>
      </c>
      <c r="Z46" s="80"/>
      <c r="AA46" s="80"/>
      <c r="AB46" s="80"/>
      <c r="AC46" s="80"/>
      <c r="AD46" s="80"/>
      <c r="AE46" s="73"/>
      <c r="AH46" s="2"/>
      <c r="AI46" s="2"/>
      <c r="AJ46" s="2"/>
      <c r="AK46" s="2" t="str">
        <f aca="false">IF(G46="x",AK$4,"")</f>
        <v/>
      </c>
      <c r="AL46" s="2" t="str">
        <f aca="false">IF(H46="x",AL$4,"")</f>
        <v/>
      </c>
      <c r="AM46" s="2" t="str">
        <f aca="false">IF(I46="x",AM$4,"")</f>
        <v/>
      </c>
      <c r="AN46" s="2" t="str">
        <f aca="false">IF(J46="x",AN$4,"")</f>
        <v/>
      </c>
      <c r="AO46" s="2"/>
      <c r="AP46" s="2"/>
      <c r="AQ46" s="2" t="str">
        <f aca="false">IF(AP46&gt;0,AVERAGE(AK46:AN46),"")</f>
        <v/>
      </c>
      <c r="AR46" s="2"/>
      <c r="AS46" s="2"/>
      <c r="AT46" s="2"/>
    </row>
    <row r="47" customFormat="false" ht="13.2" hidden="false" customHeight="false" outlineLevel="0" collapsed="false">
      <c r="B47" s="99" t="s">
        <v>56</v>
      </c>
      <c r="C47" s="38" t="s">
        <v>57</v>
      </c>
      <c r="D47" s="39"/>
      <c r="E47" s="92" t="s">
        <v>58</v>
      </c>
      <c r="F47" s="34"/>
      <c r="G47" s="41"/>
      <c r="H47" s="41"/>
      <c r="I47" s="42"/>
      <c r="J47" s="41" t="s">
        <v>22</v>
      </c>
      <c r="K47" s="43" t="s">
        <v>23</v>
      </c>
      <c r="L47" s="43"/>
      <c r="M47" s="44" t="str">
        <f aca="false">IF(AND(U47=1,N47="",AR47&gt;0,AR47&lt;&gt;""),"TODO !","")</f>
        <v/>
      </c>
      <c r="N47" s="45" t="n">
        <v>4570</v>
      </c>
      <c r="O47" s="46" t="s">
        <v>24</v>
      </c>
      <c r="P47" s="72" t="n">
        <v>1</v>
      </c>
      <c r="Q47" s="43"/>
      <c r="R47" s="77" t="n">
        <v>4</v>
      </c>
      <c r="S47" s="8" t="n">
        <f aca="false">SUM(R47:R53)</f>
        <v>22</v>
      </c>
      <c r="U47" s="48" t="n">
        <v>1</v>
      </c>
      <c r="V47" s="48" t="n">
        <v>1</v>
      </c>
      <c r="W47" s="26" t="str">
        <f aca="false">IF(AND(U47=1,V47=0),"Bonus","")</f>
        <v/>
      </c>
      <c r="X47" s="26"/>
      <c r="Y47" s="49" t="n">
        <f aca="false">IF(U47=1,AR47,"")</f>
        <v>12</v>
      </c>
      <c r="Z47" s="50"/>
      <c r="AA47" s="50"/>
      <c r="AB47" s="50"/>
      <c r="AC47" s="50"/>
      <c r="AD47" s="50"/>
      <c r="AE47" s="73"/>
      <c r="AG47" s="53" t="s">
        <v>59</v>
      </c>
      <c r="AH47" s="2"/>
      <c r="AI47" s="48" t="n">
        <f aca="false">U47*V47*R47</f>
        <v>4</v>
      </c>
      <c r="AJ47" s="2"/>
      <c r="AK47" s="48" t="str">
        <f aca="false">IF(G47="x",AK$4,"")</f>
        <v/>
      </c>
      <c r="AL47" s="48" t="str">
        <f aca="false">IF(H47="x",AL$4,"")</f>
        <v/>
      </c>
      <c r="AM47" s="48" t="str">
        <f aca="false">IF(I47="x",AM$4,"")</f>
        <v/>
      </c>
      <c r="AN47" s="48" t="n">
        <f aca="false">IF(J47="x",AN$4,"")</f>
        <v>3</v>
      </c>
      <c r="AO47" s="2"/>
      <c r="AP47" s="48" t="n">
        <f aca="false">COUNTIF(G47:J47,"=x")</f>
        <v>1</v>
      </c>
      <c r="AQ47" s="48" t="n">
        <f aca="false">IF(AP47&gt;0,AVERAGE(AK47:AN47),"")</f>
        <v>3</v>
      </c>
      <c r="AR47" s="48" t="n">
        <f aca="false">IF(AND(AP47&gt;0,U47=1),AQ47*R47,"")</f>
        <v>12</v>
      </c>
      <c r="AS47" s="2"/>
      <c r="AT47" s="48" t="n">
        <f aca="false">AI47*3</f>
        <v>12</v>
      </c>
      <c r="AV47" s="54" t="n">
        <f aca="false">SUM(AR47:AR53)</f>
        <v>66</v>
      </c>
      <c r="AW47" s="54" t="n">
        <f aca="false">SUM(AT47:AT53)</f>
        <v>66</v>
      </c>
    </row>
    <row r="48" customFormat="false" ht="13.2" hidden="false" customHeight="false" outlineLevel="0" collapsed="false">
      <c r="B48" s="99"/>
      <c r="C48" s="82" t="s">
        <v>60</v>
      </c>
      <c r="D48" s="34"/>
      <c r="E48" s="93" t="s">
        <v>58</v>
      </c>
      <c r="F48" s="34"/>
      <c r="G48" s="41"/>
      <c r="H48" s="41"/>
      <c r="I48" s="42"/>
      <c r="J48" s="41" t="s">
        <v>22</v>
      </c>
      <c r="K48" s="43" t="s">
        <v>23</v>
      </c>
      <c r="L48" s="43"/>
      <c r="M48" s="44" t="str">
        <f aca="false">IF(AND(U48=1,N48="",AR48&gt;0,AR48&lt;&gt;""),"TODO !","")</f>
        <v/>
      </c>
      <c r="N48" s="45" t="n">
        <v>17357</v>
      </c>
      <c r="O48" s="46" t="s">
        <v>24</v>
      </c>
      <c r="P48" s="83" t="n">
        <f aca="false">IF(N48&lt;&gt;"",$N$48/N47,"")</f>
        <v>3.7980306345733</v>
      </c>
      <c r="Q48" s="43"/>
      <c r="R48" s="77" t="n">
        <v>5</v>
      </c>
      <c r="S48" s="8"/>
      <c r="U48" s="48" t="n">
        <v>1</v>
      </c>
      <c r="V48" s="48" t="n">
        <v>1</v>
      </c>
      <c r="W48" s="26" t="str">
        <f aca="false">IF(AND(U48=1,V48=0),"Bonus","")</f>
        <v/>
      </c>
      <c r="X48" s="26"/>
      <c r="Y48" s="49" t="n">
        <f aca="false">IF(U48=1,AR48,"")</f>
        <v>15</v>
      </c>
      <c r="Z48" s="50"/>
      <c r="AA48" s="50"/>
      <c r="AB48" s="50"/>
      <c r="AC48" s="50"/>
      <c r="AD48" s="50"/>
      <c r="AE48" s="73"/>
      <c r="AG48" s="53"/>
      <c r="AH48" s="2"/>
      <c r="AI48" s="48" t="n">
        <f aca="false">U48*V48*R48</f>
        <v>5</v>
      </c>
      <c r="AJ48" s="2"/>
      <c r="AK48" s="48" t="str">
        <f aca="false">IF(G48="x",AK$4,"")</f>
        <v/>
      </c>
      <c r="AL48" s="48" t="str">
        <f aca="false">IF(H48="x",AL$4,"")</f>
        <v/>
      </c>
      <c r="AM48" s="48" t="str">
        <f aca="false">IF(I48="x",AM$4,"")</f>
        <v/>
      </c>
      <c r="AN48" s="48" t="n">
        <f aca="false">IF(J48="x",AN$4,"")</f>
        <v>3</v>
      </c>
      <c r="AO48" s="2"/>
      <c r="AP48" s="48" t="n">
        <f aca="false">COUNTIF(G48:J48,"=x")</f>
        <v>1</v>
      </c>
      <c r="AQ48" s="48" t="n">
        <f aca="false">IF(AP48&gt;0,AVERAGE(AK48:AN48),"")</f>
        <v>3</v>
      </c>
      <c r="AR48" s="48" t="n">
        <f aca="false">IF(AND(AP48&gt;0,U48=1),AQ48*R48,"")</f>
        <v>15</v>
      </c>
      <c r="AS48" s="2"/>
      <c r="AT48" s="48" t="n">
        <f aca="false">AI48*3</f>
        <v>15</v>
      </c>
      <c r="AV48" s="54"/>
      <c r="AW48" s="54"/>
    </row>
    <row r="49" customFormat="false" ht="13.2" hidden="false" customHeight="false" outlineLevel="0" collapsed="false">
      <c r="B49" s="99"/>
      <c r="C49" s="82" t="s">
        <v>61</v>
      </c>
      <c r="D49" s="34"/>
      <c r="E49" s="93" t="s">
        <v>58</v>
      </c>
      <c r="F49" s="34"/>
      <c r="G49" s="41"/>
      <c r="H49" s="41"/>
      <c r="I49" s="42"/>
      <c r="J49" s="41" t="s">
        <v>22</v>
      </c>
      <c r="K49" s="43" t="s">
        <v>23</v>
      </c>
      <c r="L49" s="43"/>
      <c r="M49" s="44" t="str">
        <f aca="false">IF(AND(U49=1,N49="",AR49&gt;0,AR49&lt;&gt;""),"TODO !","")</f>
        <v/>
      </c>
      <c r="N49" s="45" t="n">
        <v>29277</v>
      </c>
      <c r="O49" s="46" t="s">
        <v>24</v>
      </c>
      <c r="P49" s="83" t="n">
        <f aca="false">IF(N49&lt;&gt;"",$N$49/N47,"")</f>
        <v>6.40634573304158</v>
      </c>
      <c r="Q49" s="43"/>
      <c r="R49" s="77" t="n">
        <v>7</v>
      </c>
      <c r="S49" s="8"/>
      <c r="U49" s="48" t="n">
        <v>1</v>
      </c>
      <c r="V49" s="48" t="n">
        <v>1</v>
      </c>
      <c r="W49" s="26" t="str">
        <f aca="false">IF(AND(U49=1,V49=0),"Bonus","")</f>
        <v/>
      </c>
      <c r="X49" s="26"/>
      <c r="Y49" s="49" t="n">
        <f aca="false">IF(U49=1,AR49,"")</f>
        <v>21</v>
      </c>
      <c r="Z49" s="50"/>
      <c r="AA49" s="50"/>
      <c r="AB49" s="50"/>
      <c r="AC49" s="50"/>
      <c r="AD49" s="50"/>
      <c r="AE49" s="73"/>
      <c r="AG49" s="53"/>
      <c r="AH49" s="2"/>
      <c r="AI49" s="48" t="n">
        <f aca="false">U49*V49*R49</f>
        <v>7</v>
      </c>
      <c r="AJ49" s="2"/>
      <c r="AK49" s="48" t="str">
        <f aca="false">IF(G49="x",AK$4,"")</f>
        <v/>
      </c>
      <c r="AL49" s="48" t="str">
        <f aca="false">IF(H49="x",AL$4,"")</f>
        <v/>
      </c>
      <c r="AM49" s="48" t="str">
        <f aca="false">IF(I49="x",AM$4,"")</f>
        <v/>
      </c>
      <c r="AN49" s="48" t="n">
        <f aca="false">IF(J49="x",AN$4,"")</f>
        <v>3</v>
      </c>
      <c r="AO49" s="2"/>
      <c r="AP49" s="48" t="n">
        <f aca="false">COUNTIF(G49:J49,"=x")</f>
        <v>1</v>
      </c>
      <c r="AQ49" s="48" t="n">
        <f aca="false">IF(AP49&gt;0,AVERAGE(AK49:AN49),"")</f>
        <v>3</v>
      </c>
      <c r="AR49" s="48" t="n">
        <f aca="false">IF(AND(AP49&gt;0,U49=1),AQ49*R49,"")</f>
        <v>21</v>
      </c>
      <c r="AS49" s="2"/>
      <c r="AT49" s="48" t="n">
        <f aca="false">AI49*3</f>
        <v>21</v>
      </c>
      <c r="AV49" s="54"/>
      <c r="AW49" s="54"/>
    </row>
    <row r="50" customFormat="false" ht="13.2" hidden="false" customHeight="false" outlineLevel="0" collapsed="false">
      <c r="B50" s="99"/>
      <c r="C50" s="95"/>
      <c r="D50" s="34"/>
      <c r="E50" s="93"/>
      <c r="F50" s="34"/>
      <c r="G50" s="63"/>
      <c r="H50" s="63"/>
      <c r="I50" s="63"/>
      <c r="J50" s="63"/>
      <c r="K50" s="43"/>
      <c r="L50" s="43"/>
      <c r="M50" s="44"/>
      <c r="N50" s="64"/>
      <c r="O50" s="100"/>
      <c r="P50" s="26" t="s">
        <v>29</v>
      </c>
      <c r="Q50" s="43"/>
      <c r="R50" s="21"/>
      <c r="S50" s="8"/>
      <c r="U50" s="2"/>
      <c r="V50" s="2"/>
      <c r="W50" s="26"/>
      <c r="X50" s="26"/>
      <c r="Y50" s="65" t="str">
        <f aca="false">IF(U50=1,AR50,"")</f>
        <v/>
      </c>
      <c r="Z50" s="50"/>
      <c r="AA50" s="50"/>
      <c r="AB50" s="50"/>
      <c r="AC50" s="50"/>
      <c r="AD50" s="50"/>
      <c r="AE50" s="73"/>
      <c r="AG50" s="53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V50" s="54"/>
      <c r="AW50" s="54"/>
    </row>
    <row r="51" customFormat="false" ht="12.75" hidden="false" customHeight="true" outlineLevel="0" collapsed="false">
      <c r="B51" s="99"/>
      <c r="C51" s="82" t="s">
        <v>57</v>
      </c>
      <c r="D51" s="34"/>
      <c r="E51" s="76" t="s">
        <v>38</v>
      </c>
      <c r="F51" s="34"/>
      <c r="G51" s="41"/>
      <c r="H51" s="41"/>
      <c r="I51" s="41"/>
      <c r="J51" s="59" t="s">
        <v>22</v>
      </c>
      <c r="K51" s="43" t="s">
        <v>23</v>
      </c>
      <c r="L51" s="43"/>
      <c r="M51" s="44" t="str">
        <f aca="false">IF(AND(U51=1,N51="",AR51&gt;0,AR51&lt;&gt;""),"TODO !","")</f>
        <v/>
      </c>
      <c r="N51" s="60" t="n">
        <v>16</v>
      </c>
      <c r="O51" s="61" t="s">
        <v>28</v>
      </c>
      <c r="P51" s="101" t="n">
        <v>1</v>
      </c>
      <c r="Q51" s="43"/>
      <c r="R51" s="77" t="n">
        <v>2</v>
      </c>
      <c r="S51" s="8"/>
      <c r="U51" s="48" t="n">
        <v>1</v>
      </c>
      <c r="V51" s="48" t="n">
        <v>1</v>
      </c>
      <c r="W51" s="26" t="str">
        <f aca="false">IF(AND(U51=1,V51=0),"Bonus","")</f>
        <v/>
      </c>
      <c r="X51" s="26"/>
      <c r="Y51" s="49" t="n">
        <f aca="false">IF(U51=1,AR51,"")</f>
        <v>6</v>
      </c>
      <c r="Z51" s="50"/>
      <c r="AA51" s="50"/>
      <c r="AB51" s="50"/>
      <c r="AC51" s="50"/>
      <c r="AD51" s="50"/>
      <c r="AE51" s="73"/>
      <c r="AG51" s="53"/>
      <c r="AH51" s="2"/>
      <c r="AI51" s="48" t="n">
        <f aca="false">U51*V51*R51</f>
        <v>2</v>
      </c>
      <c r="AJ51" s="2"/>
      <c r="AK51" s="48" t="str">
        <f aca="false">IF(G51="x",AK$4,"")</f>
        <v/>
      </c>
      <c r="AL51" s="48" t="str">
        <f aca="false">IF(H51="x",AL$4,"")</f>
        <v/>
      </c>
      <c r="AM51" s="48" t="str">
        <f aca="false">IF(I51="x",AM$4,"")</f>
        <v/>
      </c>
      <c r="AN51" s="48" t="n">
        <f aca="false">IF(J51="x",AN$4,"")</f>
        <v>3</v>
      </c>
      <c r="AO51" s="2"/>
      <c r="AP51" s="48" t="n">
        <f aca="false">COUNTIF(G51:J51,"=x")</f>
        <v>1</v>
      </c>
      <c r="AQ51" s="48" t="n">
        <f aca="false">IF(AP51&gt;0,AVERAGE(AK51:AN51),"")</f>
        <v>3</v>
      </c>
      <c r="AR51" s="48" t="n">
        <f aca="false">IF(AND(AP51&gt;0,U51=1),AQ51*R51,"")</f>
        <v>6</v>
      </c>
      <c r="AS51" s="2"/>
      <c r="AT51" s="48" t="n">
        <f aca="false">AI51*3</f>
        <v>6</v>
      </c>
      <c r="AV51" s="54"/>
      <c r="AW51" s="54"/>
    </row>
    <row r="52" customFormat="false" ht="13.2" hidden="false" customHeight="false" outlineLevel="0" collapsed="false">
      <c r="B52" s="99"/>
      <c r="C52" s="82" t="s">
        <v>60</v>
      </c>
      <c r="D52" s="34"/>
      <c r="E52" s="76"/>
      <c r="F52" s="34"/>
      <c r="G52" s="41"/>
      <c r="H52" s="41"/>
      <c r="I52" s="41"/>
      <c r="J52" s="59" t="s">
        <v>22</v>
      </c>
      <c r="K52" s="43" t="s">
        <v>23</v>
      </c>
      <c r="L52" s="43"/>
      <c r="M52" s="44" t="str">
        <f aca="false">IF(AND(U52=1,N52="",AR52&gt;0,AR52&lt;&gt;""),"TODO !","")</f>
        <v/>
      </c>
      <c r="N52" s="60" t="n">
        <v>13</v>
      </c>
      <c r="O52" s="61" t="s">
        <v>28</v>
      </c>
      <c r="P52" s="51" t="n">
        <f aca="false">IF(N52&lt;&gt;"",$N$51/N52,"")</f>
        <v>1.23076923076923</v>
      </c>
      <c r="Q52" s="43"/>
      <c r="R52" s="77" t="n">
        <v>2</v>
      </c>
      <c r="S52" s="8"/>
      <c r="U52" s="48" t="n">
        <v>1</v>
      </c>
      <c r="V52" s="48" t="n">
        <v>1</v>
      </c>
      <c r="W52" s="26" t="str">
        <f aca="false">IF(AND(U52=1,V52=0),"Bonus","")</f>
        <v/>
      </c>
      <c r="X52" s="26"/>
      <c r="Y52" s="49" t="n">
        <f aca="false">IF(U52=1,AR52,"")</f>
        <v>6</v>
      </c>
      <c r="Z52" s="50"/>
      <c r="AA52" s="50"/>
      <c r="AB52" s="50"/>
      <c r="AC52" s="50"/>
      <c r="AD52" s="50"/>
      <c r="AE52" s="73"/>
      <c r="AG52" s="53"/>
      <c r="AH52" s="2"/>
      <c r="AI52" s="48" t="n">
        <f aca="false">U52*V52*R52</f>
        <v>2</v>
      </c>
      <c r="AJ52" s="2"/>
      <c r="AK52" s="48" t="str">
        <f aca="false">IF(G52="x",AK$4,"")</f>
        <v/>
      </c>
      <c r="AL52" s="48" t="str">
        <f aca="false">IF(H52="x",AL$4,"")</f>
        <v/>
      </c>
      <c r="AM52" s="48" t="str">
        <f aca="false">IF(I52="x",AM$4,"")</f>
        <v/>
      </c>
      <c r="AN52" s="48" t="n">
        <f aca="false">IF(J52="x",AN$4,"")</f>
        <v>3</v>
      </c>
      <c r="AO52" s="2"/>
      <c r="AP52" s="48" t="n">
        <f aca="false">COUNTIF(G52:J52,"=x")</f>
        <v>1</v>
      </c>
      <c r="AQ52" s="48" t="n">
        <f aca="false">IF(AP52&gt;0,AVERAGE(AK52:AN52),"")</f>
        <v>3</v>
      </c>
      <c r="AR52" s="48" t="n">
        <f aca="false">IF(AND(AP52&gt;0,U52=1),AQ52*R52,"")</f>
        <v>6</v>
      </c>
      <c r="AS52" s="2"/>
      <c r="AT52" s="48" t="n">
        <f aca="false">AI52*3</f>
        <v>6</v>
      </c>
      <c r="AV52" s="54"/>
      <c r="AW52" s="54"/>
    </row>
    <row r="53" customFormat="false" ht="13.2" hidden="false" customHeight="false" outlineLevel="0" collapsed="false">
      <c r="B53" s="99"/>
      <c r="C53" s="55" t="s">
        <v>61</v>
      </c>
      <c r="D53" s="56"/>
      <c r="E53" s="76"/>
      <c r="F53" s="34"/>
      <c r="G53" s="41"/>
      <c r="H53" s="41"/>
      <c r="I53" s="41"/>
      <c r="J53" s="59" t="s">
        <v>22</v>
      </c>
      <c r="K53" s="43" t="s">
        <v>23</v>
      </c>
      <c r="L53" s="43"/>
      <c r="M53" s="44" t="str">
        <f aca="false">IF(AND(U53=1,N53="",AR53&gt;0,AR53&lt;&gt;""),"TODO !","")</f>
        <v/>
      </c>
      <c r="N53" s="60" t="n">
        <v>9</v>
      </c>
      <c r="O53" s="61" t="s">
        <v>28</v>
      </c>
      <c r="P53" s="51" t="n">
        <f aca="false">IF(N53&lt;&gt;"",$N$51/N53,"")</f>
        <v>1.77777777777778</v>
      </c>
      <c r="Q53" s="43"/>
      <c r="R53" s="77" t="n">
        <v>2</v>
      </c>
      <c r="S53" s="8"/>
      <c r="U53" s="48" t="n">
        <v>1</v>
      </c>
      <c r="V53" s="48" t="n">
        <v>1</v>
      </c>
      <c r="W53" s="26" t="str">
        <f aca="false">IF(AND(U53=1,V53=0),"Bonus","")</f>
        <v/>
      </c>
      <c r="X53" s="26"/>
      <c r="Y53" s="49" t="n">
        <f aca="false">IF(U53=1,AR53,"")</f>
        <v>6</v>
      </c>
      <c r="Z53" s="50"/>
      <c r="AA53" s="50"/>
      <c r="AB53" s="50"/>
      <c r="AC53" s="50"/>
      <c r="AD53" s="50"/>
      <c r="AE53" s="73"/>
      <c r="AG53" s="53"/>
      <c r="AH53" s="2"/>
      <c r="AI53" s="48" t="n">
        <f aca="false">U53*V53*R53</f>
        <v>2</v>
      </c>
      <c r="AJ53" s="2"/>
      <c r="AK53" s="48" t="str">
        <f aca="false">IF(G53="x",AK$4,"")</f>
        <v/>
      </c>
      <c r="AL53" s="48" t="str">
        <f aca="false">IF(H53="x",AL$4,"")</f>
        <v/>
      </c>
      <c r="AM53" s="48" t="str">
        <f aca="false">IF(I53="x",AM$4,"")</f>
        <v/>
      </c>
      <c r="AN53" s="48" t="n">
        <f aca="false">IF(J53="x",AN$4,"")</f>
        <v>3</v>
      </c>
      <c r="AO53" s="2"/>
      <c r="AP53" s="48" t="n">
        <f aca="false">COUNTIF(G53:J53,"=x")</f>
        <v>1</v>
      </c>
      <c r="AQ53" s="48" t="n">
        <f aca="false">IF(AP53&gt;0,AVERAGE(AK53:AN53),"")</f>
        <v>3</v>
      </c>
      <c r="AR53" s="48" t="n">
        <f aca="false">IF(AND(AP53&gt;0,U53=1),AQ53*R53,"")</f>
        <v>6</v>
      </c>
      <c r="AS53" s="2"/>
      <c r="AT53" s="48" t="n">
        <f aca="false">AI53*3</f>
        <v>6</v>
      </c>
      <c r="AV53" s="54"/>
      <c r="AW53" s="54"/>
    </row>
    <row r="54" customFormat="false" ht="13.2" hidden="false" customHeight="false" outlineLevel="0" collapsed="false">
      <c r="B54" s="23"/>
      <c r="C54" s="34"/>
      <c r="D54" s="34"/>
      <c r="E54" s="34"/>
      <c r="F54" s="34"/>
      <c r="G54" s="102"/>
      <c r="H54" s="102"/>
      <c r="I54" s="102"/>
      <c r="J54" s="102"/>
      <c r="K54" s="43"/>
      <c r="L54" s="43"/>
      <c r="M54" s="44"/>
      <c r="N54" s="103"/>
      <c r="O54" s="104"/>
      <c r="P54" s="43"/>
      <c r="Q54" s="43"/>
      <c r="R54" s="105"/>
      <c r="S54" s="21"/>
      <c r="U54" s="106"/>
      <c r="V54" s="106"/>
      <c r="W54" s="26"/>
      <c r="X54" s="26"/>
      <c r="Y54" s="65" t="str">
        <f aca="false">IF(U54=1,AR54,"")</f>
        <v/>
      </c>
      <c r="Z54" s="50"/>
      <c r="AA54" s="50"/>
      <c r="AB54" s="50"/>
      <c r="AC54" s="50"/>
      <c r="AD54" s="50"/>
      <c r="AE54" s="73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</row>
    <row r="55" customFormat="false" ht="13.2" hidden="true" customHeight="false" outlineLevel="1" collapsed="false">
      <c r="B55" s="67"/>
      <c r="C55" s="34"/>
      <c r="D55" s="34"/>
      <c r="E55" s="34"/>
      <c r="F55" s="34"/>
      <c r="G55" s="63"/>
      <c r="H55" s="63"/>
      <c r="I55" s="63"/>
      <c r="J55" s="63"/>
      <c r="K55" s="43"/>
      <c r="L55" s="43"/>
      <c r="M55" s="44"/>
      <c r="N55" s="43"/>
      <c r="O55" s="104"/>
      <c r="P55" s="26" t="s">
        <v>29</v>
      </c>
      <c r="Q55" s="43"/>
      <c r="R55" s="21"/>
      <c r="S55" s="21"/>
      <c r="U55" s="2"/>
      <c r="V55" s="2"/>
      <c r="W55" s="26"/>
      <c r="X55" s="26"/>
      <c r="Y55" s="65" t="str">
        <f aca="false">IF(U55=1,AR55,"")</f>
        <v/>
      </c>
      <c r="Z55" s="50"/>
      <c r="AA55" s="50"/>
      <c r="AB55" s="50"/>
      <c r="AC55" s="50"/>
      <c r="AD55" s="50"/>
      <c r="AE55" s="73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</row>
    <row r="56" customFormat="false" ht="12.75" hidden="true" customHeight="true" outlineLevel="1" collapsed="false">
      <c r="B56" s="107" t="s">
        <v>62</v>
      </c>
      <c r="C56" s="38" t="s">
        <v>63</v>
      </c>
      <c r="D56" s="39"/>
      <c r="E56" s="92" t="s">
        <v>58</v>
      </c>
      <c r="F56" s="34"/>
      <c r="G56" s="41"/>
      <c r="H56" s="41"/>
      <c r="I56" s="42"/>
      <c r="J56" s="41"/>
      <c r="K56" s="43"/>
      <c r="L56" s="43"/>
      <c r="M56" s="44" t="str">
        <f aca="false">IF(AND(U56=1,N56="",AR56&gt;0,AR56&lt;&gt;""),"TODO !","")</f>
        <v/>
      </c>
      <c r="N56" s="108"/>
      <c r="O56" s="109" t="s">
        <v>64</v>
      </c>
      <c r="P56" s="72" t="n">
        <v>1</v>
      </c>
      <c r="Q56" s="43"/>
      <c r="R56" s="77" t="n">
        <v>4</v>
      </c>
      <c r="S56" s="8" t="n">
        <f aca="false">SUM(R56:R70)</f>
        <v>26</v>
      </c>
      <c r="U56" s="48"/>
      <c r="V56" s="48"/>
      <c r="W56" s="26" t="str">
        <f aca="false">IF(AND(U56=1,V56=0),"Bonus","")</f>
        <v/>
      </c>
      <c r="X56" s="26"/>
      <c r="Y56" s="49" t="str">
        <f aca="false">IF(U56=1,AR56,"")</f>
        <v/>
      </c>
      <c r="Z56" s="50"/>
      <c r="AA56" s="50"/>
      <c r="AB56" s="50"/>
      <c r="AC56" s="50"/>
      <c r="AD56" s="50"/>
      <c r="AE56" s="73"/>
      <c r="AG56" s="53" t="s">
        <v>65</v>
      </c>
      <c r="AH56" s="2"/>
      <c r="AI56" s="48" t="n">
        <f aca="false">U56*V56*R56</f>
        <v>0</v>
      </c>
      <c r="AJ56" s="2"/>
      <c r="AK56" s="48" t="str">
        <f aca="false">IF(G56="x",AK$4,"")</f>
        <v/>
      </c>
      <c r="AL56" s="48" t="str">
        <f aca="false">IF(H56="x",AL$4,"")</f>
        <v/>
      </c>
      <c r="AM56" s="48" t="str">
        <f aca="false">IF(I56="x",AM$4,"")</f>
        <v/>
      </c>
      <c r="AN56" s="48" t="str">
        <f aca="false">IF(J56="x",AN$4,"")</f>
        <v/>
      </c>
      <c r="AO56" s="2"/>
      <c r="AP56" s="48" t="n">
        <f aca="false">COUNTIF(G56:J56,"=x")</f>
        <v>0</v>
      </c>
      <c r="AQ56" s="48" t="str">
        <f aca="false">IF(AP56&gt;0,AVERAGE(AK56:AN56),"")</f>
        <v/>
      </c>
      <c r="AR56" s="48" t="str">
        <f aca="false">IF(AND(AP56&gt;0,U56=1),AQ56*R56,"")</f>
        <v/>
      </c>
      <c r="AS56" s="2"/>
      <c r="AT56" s="48" t="n">
        <f aca="false">AI56*3</f>
        <v>0</v>
      </c>
      <c r="AV56" s="54" t="n">
        <f aca="false">SUM(AR56:AR70)</f>
        <v>0</v>
      </c>
      <c r="AW56" s="54" t="n">
        <f aca="false">SUM(AT56:AT70)</f>
        <v>0</v>
      </c>
    </row>
    <row r="57" customFormat="false" ht="13.2" hidden="true" customHeight="false" outlineLevel="1" collapsed="false">
      <c r="B57" s="107"/>
      <c r="C57" s="82" t="s">
        <v>63</v>
      </c>
      <c r="D57" s="21" t="s">
        <v>66</v>
      </c>
      <c r="E57" s="93" t="s">
        <v>58</v>
      </c>
      <c r="F57" s="34"/>
      <c r="G57" s="41"/>
      <c r="H57" s="41"/>
      <c r="I57" s="42"/>
      <c r="J57" s="41"/>
      <c r="K57" s="43"/>
      <c r="L57" s="43"/>
      <c r="M57" s="44" t="str">
        <f aca="false">IF(AND(U57=1,N57="",AR57&gt;0,AR57&lt;&gt;""),"TODO !","")</f>
        <v/>
      </c>
      <c r="N57" s="108"/>
      <c r="O57" s="109" t="s">
        <v>64</v>
      </c>
      <c r="P57" s="110" t="str">
        <f aca="false">IF(N57&lt;&gt;"",N57/$N$56,"")</f>
        <v/>
      </c>
      <c r="Q57" s="43"/>
      <c r="R57" s="77" t="n">
        <v>6</v>
      </c>
      <c r="S57" s="8"/>
      <c r="U57" s="48"/>
      <c r="V57" s="48"/>
      <c r="W57" s="26" t="str">
        <f aca="false">IF(AND(U57=1,V57=0),"Bonus","")</f>
        <v/>
      </c>
      <c r="X57" s="26"/>
      <c r="Y57" s="49" t="str">
        <f aca="false">IF(U57=1,AR57,"")</f>
        <v/>
      </c>
      <c r="Z57" s="50"/>
      <c r="AA57" s="50"/>
      <c r="AB57" s="50"/>
      <c r="AC57" s="50"/>
      <c r="AD57" s="50"/>
      <c r="AE57" s="73"/>
      <c r="AG57" s="53"/>
      <c r="AH57" s="2"/>
      <c r="AI57" s="48" t="n">
        <f aca="false">U57*V57*R57</f>
        <v>0</v>
      </c>
      <c r="AJ57" s="2"/>
      <c r="AK57" s="48" t="str">
        <f aca="false">IF(G57="x",AK$4,"")</f>
        <v/>
      </c>
      <c r="AL57" s="48" t="str">
        <f aca="false">IF(H57="x",AL$4,"")</f>
        <v/>
      </c>
      <c r="AM57" s="48" t="str">
        <f aca="false">IF(I57="x",AM$4,"")</f>
        <v/>
      </c>
      <c r="AN57" s="48" t="str">
        <f aca="false">IF(J57="x",AN$4,"")</f>
        <v/>
      </c>
      <c r="AO57" s="2"/>
      <c r="AP57" s="48" t="n">
        <f aca="false">COUNTIF(G57:J57,"=x")</f>
        <v>0</v>
      </c>
      <c r="AQ57" s="48" t="str">
        <f aca="false">IF(AP57&gt;0,AVERAGE(AK57:AN57),"")</f>
        <v/>
      </c>
      <c r="AR57" s="48" t="str">
        <f aca="false">IF(AND(AP57&gt;0,U57=1),AQ57*R57,"")</f>
        <v/>
      </c>
      <c r="AS57" s="2"/>
      <c r="AT57" s="48" t="n">
        <f aca="false">AI57*3</f>
        <v>0</v>
      </c>
      <c r="AV57" s="54"/>
      <c r="AW57" s="54"/>
    </row>
    <row r="58" customFormat="false" ht="13.2" hidden="true" customHeight="false" outlineLevel="1" collapsed="false">
      <c r="B58" s="107"/>
      <c r="C58" s="82" t="s">
        <v>63</v>
      </c>
      <c r="D58" s="21" t="s">
        <v>67</v>
      </c>
      <c r="E58" s="93" t="s">
        <v>58</v>
      </c>
      <c r="F58" s="34"/>
      <c r="G58" s="41"/>
      <c r="H58" s="41"/>
      <c r="I58" s="42"/>
      <c r="J58" s="41"/>
      <c r="K58" s="43"/>
      <c r="L58" s="43"/>
      <c r="M58" s="44" t="str">
        <f aca="false">IF(AND(U58=1,N58="",AR58&gt;0,AR58&lt;&gt;""),"TODO !","")</f>
        <v/>
      </c>
      <c r="N58" s="108"/>
      <c r="O58" s="109" t="s">
        <v>64</v>
      </c>
      <c r="P58" s="110" t="str">
        <f aca="false">IF(N58&lt;&gt;"",N58/$N$56,"")</f>
        <v/>
      </c>
      <c r="Q58" s="43"/>
      <c r="R58" s="47" t="n">
        <v>7</v>
      </c>
      <c r="S58" s="8"/>
      <c r="U58" s="48"/>
      <c r="V58" s="48"/>
      <c r="W58" s="26" t="str">
        <f aca="false">IF(AND(U58=1,V58=0),"Bonus","")</f>
        <v/>
      </c>
      <c r="X58" s="26"/>
      <c r="Y58" s="49" t="str">
        <f aca="false">IF(U58=1,AR58,"")</f>
        <v/>
      </c>
      <c r="Z58" s="50"/>
      <c r="AA58" s="50"/>
      <c r="AB58" s="50"/>
      <c r="AC58" s="50"/>
      <c r="AD58" s="50"/>
      <c r="AE58" s="73"/>
      <c r="AG58" s="53"/>
      <c r="AH58" s="2"/>
      <c r="AI58" s="48" t="n">
        <f aca="false">U58*V58*R58</f>
        <v>0</v>
      </c>
      <c r="AJ58" s="2"/>
      <c r="AK58" s="48" t="str">
        <f aca="false">IF(G58="x",AK$4,"")</f>
        <v/>
      </c>
      <c r="AL58" s="48" t="str">
        <f aca="false">IF(H58="x",AL$4,"")</f>
        <v/>
      </c>
      <c r="AM58" s="48" t="str">
        <f aca="false">IF(I58="x",AM$4,"")</f>
        <v/>
      </c>
      <c r="AN58" s="48" t="str">
        <f aca="false">IF(J58="x",AN$4,"")</f>
        <v/>
      </c>
      <c r="AO58" s="2"/>
      <c r="AP58" s="48" t="n">
        <f aca="false">COUNTIF(G58:J58,"=x")</f>
        <v>0</v>
      </c>
      <c r="AQ58" s="48" t="str">
        <f aca="false">IF(AP58&gt;0,AVERAGE(AK58:AN58),"")</f>
        <v/>
      </c>
      <c r="AR58" s="48" t="str">
        <f aca="false">IF(AND(AP58&gt;0,U58=1),AQ58*R58,"")</f>
        <v/>
      </c>
      <c r="AS58" s="2"/>
      <c r="AT58" s="48" t="n">
        <f aca="false">AI58*3</f>
        <v>0</v>
      </c>
      <c r="AV58" s="54"/>
      <c r="AW58" s="54"/>
    </row>
    <row r="59" customFormat="false" ht="13.2" hidden="true" customHeight="false" outlineLevel="1" collapsed="false">
      <c r="B59" s="107"/>
      <c r="C59" s="82"/>
      <c r="D59" s="34"/>
      <c r="E59" s="93"/>
      <c r="F59" s="34"/>
      <c r="G59" s="63"/>
      <c r="H59" s="63"/>
      <c r="I59" s="63"/>
      <c r="J59" s="63"/>
      <c r="K59" s="43"/>
      <c r="L59" s="43"/>
      <c r="M59" s="44"/>
      <c r="N59" s="64"/>
      <c r="O59" s="109"/>
      <c r="P59" s="26" t="s">
        <v>29</v>
      </c>
      <c r="Q59" s="43"/>
      <c r="R59" s="21"/>
      <c r="S59" s="8"/>
      <c r="U59" s="2"/>
      <c r="V59" s="2"/>
      <c r="W59" s="26"/>
      <c r="X59" s="26"/>
      <c r="Y59" s="65" t="str">
        <f aca="false">IF(U59=1,AR59,"")</f>
        <v/>
      </c>
      <c r="Z59" s="50"/>
      <c r="AA59" s="50"/>
      <c r="AB59" s="50"/>
      <c r="AC59" s="50"/>
      <c r="AD59" s="50"/>
      <c r="AE59" s="73"/>
      <c r="AG59" s="53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V59" s="54"/>
      <c r="AW59" s="54"/>
    </row>
    <row r="60" customFormat="false" ht="13.2" hidden="true" customHeight="false" outlineLevel="1" collapsed="false">
      <c r="B60" s="107"/>
      <c r="C60" s="82" t="s">
        <v>68</v>
      </c>
      <c r="D60" s="34"/>
      <c r="E60" s="93" t="s">
        <v>58</v>
      </c>
      <c r="F60" s="34"/>
      <c r="G60" s="41"/>
      <c r="H60" s="41"/>
      <c r="I60" s="42"/>
      <c r="J60" s="41"/>
      <c r="K60" s="43"/>
      <c r="L60" s="43"/>
      <c r="M60" s="44" t="str">
        <f aca="false">IF(AND(U60=1,N60="",AR60&gt;0,AR60&lt;&gt;""),"TODO !","")</f>
        <v/>
      </c>
      <c r="N60" s="108"/>
      <c r="O60" s="109" t="s">
        <v>64</v>
      </c>
      <c r="P60" s="72" t="n">
        <v>1</v>
      </c>
      <c r="Q60" s="43"/>
      <c r="R60" s="77" t="n">
        <v>1</v>
      </c>
      <c r="S60" s="8"/>
      <c r="U60" s="48"/>
      <c r="V60" s="48"/>
      <c r="W60" s="26" t="str">
        <f aca="false">IF(AND(U60=1,V60=0),"Bonus","")</f>
        <v/>
      </c>
      <c r="X60" s="26"/>
      <c r="Y60" s="49" t="str">
        <f aca="false">IF(U60=1,AR60,"")</f>
        <v/>
      </c>
      <c r="Z60" s="50"/>
      <c r="AA60" s="50"/>
      <c r="AB60" s="50"/>
      <c r="AC60" s="50"/>
      <c r="AD60" s="50"/>
      <c r="AE60" s="73"/>
      <c r="AG60" s="53"/>
      <c r="AH60" s="2"/>
      <c r="AI60" s="48" t="n">
        <f aca="false">U60*V60*R60</f>
        <v>0</v>
      </c>
      <c r="AJ60" s="2"/>
      <c r="AK60" s="48" t="str">
        <f aca="false">IF(G60="x",AK$4,"")</f>
        <v/>
      </c>
      <c r="AL60" s="48" t="str">
        <f aca="false">IF(H60="x",AL$4,"")</f>
        <v/>
      </c>
      <c r="AM60" s="48" t="str">
        <f aca="false">IF(I60="x",AM$4,"")</f>
        <v/>
      </c>
      <c r="AN60" s="48" t="str">
        <f aca="false">IF(J60="x",AN$4,"")</f>
        <v/>
      </c>
      <c r="AO60" s="2"/>
      <c r="AP60" s="48" t="n">
        <f aca="false">COUNTIF(G60:J60,"=x")</f>
        <v>0</v>
      </c>
      <c r="AQ60" s="48" t="str">
        <f aca="false">IF(AP60&gt;0,AVERAGE(AK60:AN60),"")</f>
        <v/>
      </c>
      <c r="AR60" s="48" t="str">
        <f aca="false">IF(AND(AP60&gt;0,U60=1),AQ60*R60,"")</f>
        <v/>
      </c>
      <c r="AS60" s="2"/>
      <c r="AT60" s="48" t="n">
        <f aca="false">AI60*3</f>
        <v>0</v>
      </c>
      <c r="AV60" s="54"/>
      <c r="AW60" s="54"/>
    </row>
    <row r="61" customFormat="false" ht="13.2" hidden="true" customHeight="false" outlineLevel="1" collapsed="false">
      <c r="B61" s="107"/>
      <c r="C61" s="82" t="s">
        <v>68</v>
      </c>
      <c r="D61" s="21" t="s">
        <v>66</v>
      </c>
      <c r="E61" s="93" t="s">
        <v>58</v>
      </c>
      <c r="F61" s="34"/>
      <c r="G61" s="41"/>
      <c r="H61" s="41"/>
      <c r="I61" s="42"/>
      <c r="J61" s="41"/>
      <c r="K61" s="43"/>
      <c r="L61" s="43"/>
      <c r="M61" s="44" t="str">
        <f aca="false">IF(AND(U61=1,N61="",AR61&gt;0,AR61&lt;&gt;""),"TODO !","")</f>
        <v/>
      </c>
      <c r="N61" s="108"/>
      <c r="O61" s="109" t="s">
        <v>64</v>
      </c>
      <c r="P61" s="110" t="str">
        <f aca="false">IF(N61&lt;&gt;"",N61/$N$60,"")</f>
        <v/>
      </c>
      <c r="Q61" s="43"/>
      <c r="R61" s="77" t="n">
        <v>1</v>
      </c>
      <c r="S61" s="8"/>
      <c r="U61" s="48"/>
      <c r="V61" s="48"/>
      <c r="W61" s="26" t="str">
        <f aca="false">IF(AND(U61=1,V61=0),"Bonus","")</f>
        <v/>
      </c>
      <c r="X61" s="26"/>
      <c r="Y61" s="49" t="str">
        <f aca="false">IF(U61=1,AR61,"")</f>
        <v/>
      </c>
      <c r="Z61" s="50"/>
      <c r="AA61" s="50"/>
      <c r="AB61" s="50"/>
      <c r="AC61" s="50"/>
      <c r="AD61" s="50"/>
      <c r="AE61" s="73"/>
      <c r="AG61" s="53"/>
      <c r="AH61" s="2"/>
      <c r="AI61" s="48" t="n">
        <f aca="false">U61*V61*R61</f>
        <v>0</v>
      </c>
      <c r="AJ61" s="2"/>
      <c r="AK61" s="48" t="str">
        <f aca="false">IF(G61="x",AK$4,"")</f>
        <v/>
      </c>
      <c r="AL61" s="48" t="str">
        <f aca="false">IF(H61="x",AL$4,"")</f>
        <v/>
      </c>
      <c r="AM61" s="48" t="str">
        <f aca="false">IF(I61="x",AM$4,"")</f>
        <v/>
      </c>
      <c r="AN61" s="48" t="str">
        <f aca="false">IF(J61="x",AN$4,"")</f>
        <v/>
      </c>
      <c r="AO61" s="2"/>
      <c r="AP61" s="48" t="n">
        <f aca="false">COUNTIF(G61:J61,"=x")</f>
        <v>0</v>
      </c>
      <c r="AQ61" s="48" t="str">
        <f aca="false">IF(AP61&gt;0,AVERAGE(AK61:AN61),"")</f>
        <v/>
      </c>
      <c r="AR61" s="48" t="str">
        <f aca="false">IF(AND(AP61&gt;0,U61=1),AQ61*R61,"")</f>
        <v/>
      </c>
      <c r="AS61" s="2"/>
      <c r="AT61" s="48" t="n">
        <f aca="false">AI61*3</f>
        <v>0</v>
      </c>
      <c r="AV61" s="54"/>
      <c r="AW61" s="54"/>
    </row>
    <row r="62" customFormat="false" ht="13.2" hidden="true" customHeight="false" outlineLevel="1" collapsed="false">
      <c r="B62" s="107"/>
      <c r="C62" s="82" t="s">
        <v>68</v>
      </c>
      <c r="D62" s="21" t="s">
        <v>67</v>
      </c>
      <c r="E62" s="93" t="s">
        <v>58</v>
      </c>
      <c r="F62" s="34"/>
      <c r="G62" s="41"/>
      <c r="H62" s="41"/>
      <c r="I62" s="42"/>
      <c r="J62" s="41"/>
      <c r="K62" s="43"/>
      <c r="L62" s="43"/>
      <c r="M62" s="44" t="str">
        <f aca="false">IF(AND(U62=1,N62="",AR62&gt;0,AR62&lt;&gt;""),"TODO !","")</f>
        <v/>
      </c>
      <c r="N62" s="108"/>
      <c r="O62" s="109" t="s">
        <v>64</v>
      </c>
      <c r="P62" s="110" t="str">
        <f aca="false">IF(N62&lt;&gt;"",N62/$N$60,"")</f>
        <v/>
      </c>
      <c r="Q62" s="43"/>
      <c r="R62" s="47" t="n">
        <v>1</v>
      </c>
      <c r="S62" s="8"/>
      <c r="U62" s="48"/>
      <c r="V62" s="48"/>
      <c r="W62" s="26" t="str">
        <f aca="false">IF(AND(U62=1,V62=0),"Bonus","")</f>
        <v/>
      </c>
      <c r="X62" s="26"/>
      <c r="Y62" s="49" t="str">
        <f aca="false">IF(U62=1,AR62,"")</f>
        <v/>
      </c>
      <c r="Z62" s="50"/>
      <c r="AA62" s="50"/>
      <c r="AB62" s="50"/>
      <c r="AC62" s="50"/>
      <c r="AD62" s="50"/>
      <c r="AE62" s="73"/>
      <c r="AG62" s="53"/>
      <c r="AH62" s="2"/>
      <c r="AI62" s="48" t="n">
        <f aca="false">U62*V62*R62</f>
        <v>0</v>
      </c>
      <c r="AJ62" s="2"/>
      <c r="AK62" s="48" t="str">
        <f aca="false">IF(G62="x",AK$4,"")</f>
        <v/>
      </c>
      <c r="AL62" s="48" t="str">
        <f aca="false">IF(H62="x",AL$4,"")</f>
        <v/>
      </c>
      <c r="AM62" s="48" t="str">
        <f aca="false">IF(I62="x",AM$4,"")</f>
        <v/>
      </c>
      <c r="AN62" s="48" t="str">
        <f aca="false">IF(J62="x",AN$4,"")</f>
        <v/>
      </c>
      <c r="AO62" s="2"/>
      <c r="AP62" s="48" t="n">
        <f aca="false">COUNTIF(G62:J62,"=x")</f>
        <v>0</v>
      </c>
      <c r="AQ62" s="48" t="str">
        <f aca="false">IF(AP62&gt;0,AVERAGE(AK62:AN62),"")</f>
        <v/>
      </c>
      <c r="AR62" s="48" t="str">
        <f aca="false">IF(AND(AP62&gt;0,U62=1),AQ62*R62,"")</f>
        <v/>
      </c>
      <c r="AS62" s="2"/>
      <c r="AT62" s="48" t="n">
        <f aca="false">AI62*3</f>
        <v>0</v>
      </c>
      <c r="AV62" s="54"/>
      <c r="AW62" s="54"/>
    </row>
    <row r="63" customFormat="false" ht="13.2" hidden="true" customHeight="false" outlineLevel="1" collapsed="false">
      <c r="B63" s="107"/>
      <c r="C63" s="82"/>
      <c r="D63" s="34"/>
      <c r="E63" s="93"/>
      <c r="F63" s="34"/>
      <c r="G63" s="63"/>
      <c r="H63" s="63"/>
      <c r="I63" s="63"/>
      <c r="J63" s="63"/>
      <c r="K63" s="43"/>
      <c r="L63" s="43"/>
      <c r="M63" s="44"/>
      <c r="N63" s="64"/>
      <c r="O63" s="104"/>
      <c r="P63" s="43"/>
      <c r="Q63" s="43"/>
      <c r="R63" s="21"/>
      <c r="S63" s="8"/>
      <c r="U63" s="2"/>
      <c r="V63" s="2"/>
      <c r="W63" s="26"/>
      <c r="X63" s="26"/>
      <c r="Y63" s="65" t="str">
        <f aca="false">IF(U63=1,AR63,"")</f>
        <v/>
      </c>
      <c r="Z63" s="50"/>
      <c r="AA63" s="50"/>
      <c r="AB63" s="50"/>
      <c r="AC63" s="50"/>
      <c r="AD63" s="50"/>
      <c r="AE63" s="73"/>
      <c r="AF63" s="0" t="str">
        <f aca="false">IF(AND(J63="x",AE63=""),"TODO !","")</f>
        <v/>
      </c>
      <c r="AG63" s="53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V63" s="54"/>
      <c r="AW63" s="54"/>
    </row>
    <row r="64" customFormat="false" ht="13.2" hidden="true" customHeight="false" outlineLevel="1" collapsed="false">
      <c r="B64" s="107"/>
      <c r="C64" s="82" t="s">
        <v>63</v>
      </c>
      <c r="D64" s="34"/>
      <c r="E64" s="76" t="s">
        <v>38</v>
      </c>
      <c r="F64" s="34"/>
      <c r="G64" s="41"/>
      <c r="H64" s="41"/>
      <c r="I64" s="41"/>
      <c r="J64" s="59"/>
      <c r="K64" s="43"/>
      <c r="L64" s="43"/>
      <c r="M64" s="44" t="str">
        <f aca="false">IF(AND(U64=1,N64="",AR64&gt;0,AR64&lt;&gt;""),"TODO !","")</f>
        <v/>
      </c>
      <c r="N64" s="111"/>
      <c r="O64" s="61" t="s">
        <v>28</v>
      </c>
      <c r="P64" s="43"/>
      <c r="Q64" s="43"/>
      <c r="R64" s="77" t="n">
        <v>1</v>
      </c>
      <c r="S64" s="8"/>
      <c r="U64" s="48"/>
      <c r="V64" s="48"/>
      <c r="W64" s="26" t="str">
        <f aca="false">IF(AND(U64=1,V64=0),"Bonus","")</f>
        <v/>
      </c>
      <c r="X64" s="26"/>
      <c r="Y64" s="49" t="str">
        <f aca="false">IF(U64=1,AR64,"")</f>
        <v/>
      </c>
      <c r="Z64" s="50"/>
      <c r="AA64" s="50"/>
      <c r="AB64" s="50"/>
      <c r="AC64" s="50"/>
      <c r="AD64" s="50"/>
      <c r="AE64" s="73"/>
      <c r="AG64" s="53"/>
      <c r="AH64" s="2"/>
      <c r="AI64" s="48" t="n">
        <f aca="false">U64*V64*R64</f>
        <v>0</v>
      </c>
      <c r="AJ64" s="2"/>
      <c r="AK64" s="48" t="str">
        <f aca="false">IF(G64="x",AK$4,"")</f>
        <v/>
      </c>
      <c r="AL64" s="48" t="str">
        <f aca="false">IF(H64="x",AL$4,"")</f>
        <v/>
      </c>
      <c r="AM64" s="48" t="str">
        <f aca="false">IF(I64="x",AM$4,"")</f>
        <v/>
      </c>
      <c r="AN64" s="48" t="str">
        <f aca="false">IF(J64="x",AN$4,"")</f>
        <v/>
      </c>
      <c r="AO64" s="2"/>
      <c r="AP64" s="48" t="n">
        <f aca="false">COUNTIF(G64:J64,"=x")</f>
        <v>0</v>
      </c>
      <c r="AQ64" s="48" t="str">
        <f aca="false">IF(AP64&gt;0,AVERAGE(AK64:AN64),"")</f>
        <v/>
      </c>
      <c r="AR64" s="48" t="str">
        <f aca="false">IF(AND(AP64&gt;0,U64=1),AQ64*R64,"")</f>
        <v/>
      </c>
      <c r="AS64" s="2"/>
      <c r="AT64" s="48" t="n">
        <f aca="false">AI64*3</f>
        <v>0</v>
      </c>
      <c r="AV64" s="54"/>
      <c r="AW64" s="54"/>
    </row>
    <row r="65" customFormat="false" ht="13.2" hidden="true" customHeight="false" outlineLevel="1" collapsed="false">
      <c r="B65" s="107"/>
      <c r="C65" s="82" t="s">
        <v>63</v>
      </c>
      <c r="D65" s="21" t="s">
        <v>66</v>
      </c>
      <c r="E65" s="76"/>
      <c r="F65" s="34"/>
      <c r="G65" s="41"/>
      <c r="H65" s="41"/>
      <c r="I65" s="41"/>
      <c r="J65" s="59"/>
      <c r="K65" s="43"/>
      <c r="L65" s="43"/>
      <c r="M65" s="44" t="str">
        <f aca="false">IF(AND(U65=1,N65="",AR65&gt;0,AR65&lt;&gt;""),"TODO !","")</f>
        <v/>
      </c>
      <c r="N65" s="111"/>
      <c r="O65" s="61" t="s">
        <v>28</v>
      </c>
      <c r="P65" s="43"/>
      <c r="Q65" s="43"/>
      <c r="R65" s="77" t="n">
        <v>1</v>
      </c>
      <c r="S65" s="8"/>
      <c r="U65" s="48"/>
      <c r="V65" s="48"/>
      <c r="W65" s="26" t="str">
        <f aca="false">IF(AND(U65=1,V65=0),"Bonus","")</f>
        <v/>
      </c>
      <c r="X65" s="26"/>
      <c r="Y65" s="49" t="str">
        <f aca="false">IF(U65=1,AR65,"")</f>
        <v/>
      </c>
      <c r="Z65" s="50"/>
      <c r="AA65" s="50"/>
      <c r="AB65" s="50"/>
      <c r="AC65" s="50"/>
      <c r="AD65" s="50"/>
      <c r="AE65" s="73"/>
      <c r="AG65" s="53"/>
      <c r="AH65" s="2"/>
      <c r="AI65" s="48" t="n">
        <f aca="false">U65*V65*R65</f>
        <v>0</v>
      </c>
      <c r="AJ65" s="2"/>
      <c r="AK65" s="48" t="str">
        <f aca="false">IF(G65="x",AK$4,"")</f>
        <v/>
      </c>
      <c r="AL65" s="48" t="str">
        <f aca="false">IF(H65="x",AL$4,"")</f>
        <v/>
      </c>
      <c r="AM65" s="48" t="str">
        <f aca="false">IF(I65="x",AM$4,"")</f>
        <v/>
      </c>
      <c r="AN65" s="48" t="str">
        <f aca="false">IF(J65="x",AN$4,"")</f>
        <v/>
      </c>
      <c r="AO65" s="2"/>
      <c r="AP65" s="48" t="n">
        <f aca="false">COUNTIF(G65:J65,"=x")</f>
        <v>0</v>
      </c>
      <c r="AQ65" s="48" t="str">
        <f aca="false">IF(AP65&gt;0,AVERAGE(AK65:AN65),"")</f>
        <v/>
      </c>
      <c r="AR65" s="48" t="str">
        <f aca="false">IF(AND(AP65&gt;0,U65=1),AQ65*R65,"")</f>
        <v/>
      </c>
      <c r="AS65" s="2"/>
      <c r="AT65" s="48" t="n">
        <f aca="false">AI65*3</f>
        <v>0</v>
      </c>
      <c r="AV65" s="54"/>
      <c r="AW65" s="54"/>
    </row>
    <row r="66" customFormat="false" ht="13.2" hidden="true" customHeight="false" outlineLevel="1" collapsed="false">
      <c r="B66" s="107"/>
      <c r="C66" s="82" t="s">
        <v>63</v>
      </c>
      <c r="D66" s="21" t="s">
        <v>67</v>
      </c>
      <c r="E66" s="76"/>
      <c r="F66" s="34"/>
      <c r="G66" s="41"/>
      <c r="H66" s="41"/>
      <c r="I66" s="41"/>
      <c r="J66" s="59"/>
      <c r="K66" s="43"/>
      <c r="L66" s="43"/>
      <c r="M66" s="44" t="str">
        <f aca="false">IF(AND(U66=1,N66="",AR66&gt;0,AR66&lt;&gt;""),"TODO !","")</f>
        <v/>
      </c>
      <c r="N66" s="111"/>
      <c r="O66" s="61" t="s">
        <v>28</v>
      </c>
      <c r="P66" s="43"/>
      <c r="Q66" s="43"/>
      <c r="R66" s="77" t="n">
        <v>1</v>
      </c>
      <c r="S66" s="8"/>
      <c r="U66" s="48"/>
      <c r="V66" s="48"/>
      <c r="W66" s="26" t="str">
        <f aca="false">IF(AND(U66=1,V66=0),"Bonus","")</f>
        <v/>
      </c>
      <c r="X66" s="26"/>
      <c r="Y66" s="49" t="str">
        <f aca="false">IF(U66=1,AR66,"")</f>
        <v/>
      </c>
      <c r="Z66" s="50"/>
      <c r="AA66" s="50"/>
      <c r="AB66" s="50"/>
      <c r="AC66" s="50"/>
      <c r="AD66" s="50"/>
      <c r="AE66" s="73"/>
      <c r="AG66" s="53"/>
      <c r="AH66" s="2"/>
      <c r="AI66" s="48" t="n">
        <f aca="false">U66*V66*R66</f>
        <v>0</v>
      </c>
      <c r="AJ66" s="2"/>
      <c r="AK66" s="48" t="str">
        <f aca="false">IF(G66="x",AK$4,"")</f>
        <v/>
      </c>
      <c r="AL66" s="48" t="str">
        <f aca="false">IF(H66="x",AL$4,"")</f>
        <v/>
      </c>
      <c r="AM66" s="48" t="str">
        <f aca="false">IF(I66="x",AM$4,"")</f>
        <v/>
      </c>
      <c r="AN66" s="48" t="str">
        <f aca="false">IF(J66="x",AN$4,"")</f>
        <v/>
      </c>
      <c r="AO66" s="2"/>
      <c r="AP66" s="48" t="n">
        <f aca="false">COUNTIF(G66:J66,"=x")</f>
        <v>0</v>
      </c>
      <c r="AQ66" s="48" t="str">
        <f aca="false">IF(AP66&gt;0,AVERAGE(AK66:AN66),"")</f>
        <v/>
      </c>
      <c r="AR66" s="48" t="str">
        <f aca="false">IF(AND(AP66&gt;0,U66=1),AQ66*R66,"")</f>
        <v/>
      </c>
      <c r="AS66" s="2"/>
      <c r="AT66" s="48" t="n">
        <f aca="false">AI66*3</f>
        <v>0</v>
      </c>
      <c r="AV66" s="54"/>
      <c r="AW66" s="54"/>
    </row>
    <row r="67" customFormat="false" ht="13.2" hidden="true" customHeight="false" outlineLevel="1" collapsed="false">
      <c r="B67" s="107"/>
      <c r="C67" s="82"/>
      <c r="D67" s="34"/>
      <c r="E67" s="94"/>
      <c r="F67" s="34"/>
      <c r="G67" s="63"/>
      <c r="H67" s="63"/>
      <c r="I67" s="63"/>
      <c r="J67" s="63"/>
      <c r="K67" s="43"/>
      <c r="L67" s="43"/>
      <c r="M67" s="44" t="str">
        <f aca="false">IF(AND(U67=1,N67="",AR67&gt;0,AR67&lt;&gt;""),"TODO !","")</f>
        <v/>
      </c>
      <c r="N67" s="112"/>
      <c r="O67" s="104"/>
      <c r="P67" s="43"/>
      <c r="Q67" s="43"/>
      <c r="R67" s="21"/>
      <c r="S67" s="8"/>
      <c r="U67" s="2"/>
      <c r="V67" s="2"/>
      <c r="W67" s="26"/>
      <c r="X67" s="26"/>
      <c r="Y67" s="65" t="str">
        <f aca="false">IF(U67=1,AR67,"")</f>
        <v/>
      </c>
      <c r="Z67" s="50"/>
      <c r="AA67" s="50"/>
      <c r="AB67" s="50"/>
      <c r="AC67" s="50"/>
      <c r="AD67" s="50"/>
      <c r="AE67" s="73"/>
      <c r="AG67" s="53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V67" s="54"/>
      <c r="AW67" s="54"/>
    </row>
    <row r="68" customFormat="false" ht="13.2" hidden="true" customHeight="false" outlineLevel="1" collapsed="false">
      <c r="B68" s="107"/>
      <c r="C68" s="82" t="s">
        <v>68</v>
      </c>
      <c r="D68" s="34"/>
      <c r="E68" s="76" t="s">
        <v>38</v>
      </c>
      <c r="F68" s="34"/>
      <c r="G68" s="41"/>
      <c r="H68" s="41"/>
      <c r="I68" s="41"/>
      <c r="J68" s="59"/>
      <c r="K68" s="43"/>
      <c r="L68" s="43"/>
      <c r="M68" s="44" t="str">
        <f aca="false">IF(AND(U68=1,N68="",AR68&gt;0,AR68&lt;&gt;""),"TODO !","")</f>
        <v/>
      </c>
      <c r="N68" s="111"/>
      <c r="O68" s="61" t="s">
        <v>28</v>
      </c>
      <c r="P68" s="110"/>
      <c r="Q68" s="43"/>
      <c r="R68" s="77" t="n">
        <v>1</v>
      </c>
      <c r="S68" s="8"/>
      <c r="U68" s="48"/>
      <c r="V68" s="48"/>
      <c r="W68" s="26" t="str">
        <f aca="false">IF(AND(U68=1,V68=0),"Bonus","")</f>
        <v/>
      </c>
      <c r="X68" s="26"/>
      <c r="Y68" s="49" t="str">
        <f aca="false">IF(U68=1,AR68,"")</f>
        <v/>
      </c>
      <c r="Z68" s="50"/>
      <c r="AA68" s="50"/>
      <c r="AB68" s="50"/>
      <c r="AC68" s="50"/>
      <c r="AD68" s="50"/>
      <c r="AE68" s="73"/>
      <c r="AG68" s="53"/>
      <c r="AH68" s="2"/>
      <c r="AI68" s="48" t="n">
        <f aca="false">U68*V68*R68</f>
        <v>0</v>
      </c>
      <c r="AJ68" s="2"/>
      <c r="AK68" s="48" t="str">
        <f aca="false">IF(G68="x",AK$4,"")</f>
        <v/>
      </c>
      <c r="AL68" s="48" t="str">
        <f aca="false">IF(H68="x",AL$4,"")</f>
        <v/>
      </c>
      <c r="AM68" s="48" t="str">
        <f aca="false">IF(I68="x",AM$4,"")</f>
        <v/>
      </c>
      <c r="AN68" s="48" t="str">
        <f aca="false">IF(J68="x",AN$4,"")</f>
        <v/>
      </c>
      <c r="AO68" s="2"/>
      <c r="AP68" s="48" t="n">
        <f aca="false">COUNTIF(G68:J68,"=x")</f>
        <v>0</v>
      </c>
      <c r="AQ68" s="48" t="str">
        <f aca="false">IF(AP68&gt;0,AVERAGE(AK68:AN68),"")</f>
        <v/>
      </c>
      <c r="AR68" s="48" t="str">
        <f aca="false">IF(AND(AP68&gt;0,U68=1),AQ68*R68,"")</f>
        <v/>
      </c>
      <c r="AS68" s="2"/>
      <c r="AT68" s="48" t="n">
        <f aca="false">AI68*3</f>
        <v>0</v>
      </c>
      <c r="AV68" s="54"/>
      <c r="AW68" s="54"/>
    </row>
    <row r="69" customFormat="false" ht="13.2" hidden="true" customHeight="false" outlineLevel="1" collapsed="false">
      <c r="B69" s="107"/>
      <c r="C69" s="82" t="s">
        <v>68</v>
      </c>
      <c r="D69" s="21" t="s">
        <v>66</v>
      </c>
      <c r="E69" s="76"/>
      <c r="F69" s="34"/>
      <c r="G69" s="41"/>
      <c r="H69" s="41"/>
      <c r="I69" s="41"/>
      <c r="J69" s="59"/>
      <c r="K69" s="43"/>
      <c r="L69" s="43"/>
      <c r="M69" s="44" t="str">
        <f aca="false">IF(AND(U69=1,N69="",AR69&gt;0,AR69&lt;&gt;""),"TODO !","")</f>
        <v/>
      </c>
      <c r="N69" s="111"/>
      <c r="O69" s="61" t="s">
        <v>28</v>
      </c>
      <c r="P69" s="110"/>
      <c r="Q69" s="43"/>
      <c r="R69" s="77" t="n">
        <v>1</v>
      </c>
      <c r="S69" s="8"/>
      <c r="U69" s="48"/>
      <c r="V69" s="48"/>
      <c r="W69" s="26" t="str">
        <f aca="false">IF(AND(U69=1,V69=0),"Bonus","")</f>
        <v/>
      </c>
      <c r="X69" s="26"/>
      <c r="Y69" s="49" t="str">
        <f aca="false">IF(U69=1,AR69,"")</f>
        <v/>
      </c>
      <c r="Z69" s="50"/>
      <c r="AA69" s="50"/>
      <c r="AB69" s="50"/>
      <c r="AC69" s="50"/>
      <c r="AD69" s="50"/>
      <c r="AE69" s="73"/>
      <c r="AG69" s="53"/>
      <c r="AH69" s="2"/>
      <c r="AI69" s="48" t="n">
        <f aca="false">U69*V69*R69</f>
        <v>0</v>
      </c>
      <c r="AJ69" s="2"/>
      <c r="AK69" s="48" t="str">
        <f aca="false">IF(G69="x",AK$4,"")</f>
        <v/>
      </c>
      <c r="AL69" s="48" t="str">
        <f aca="false">IF(H69="x",AL$4,"")</f>
        <v/>
      </c>
      <c r="AM69" s="48" t="str">
        <f aca="false">IF(I69="x",AM$4,"")</f>
        <v/>
      </c>
      <c r="AN69" s="48" t="str">
        <f aca="false">IF(J69="x",AN$4,"")</f>
        <v/>
      </c>
      <c r="AO69" s="2"/>
      <c r="AP69" s="48" t="n">
        <f aca="false">COUNTIF(G69:J69,"=x")</f>
        <v>0</v>
      </c>
      <c r="AQ69" s="48" t="str">
        <f aca="false">IF(AP69&gt;0,AVERAGE(AK69:AN69),"")</f>
        <v/>
      </c>
      <c r="AR69" s="48" t="str">
        <f aca="false">IF(AND(AP69&gt;0,U69=1),AQ69*R69,"")</f>
        <v/>
      </c>
      <c r="AS69" s="2"/>
      <c r="AT69" s="48" t="n">
        <f aca="false">AI69*3</f>
        <v>0</v>
      </c>
      <c r="AV69" s="54"/>
      <c r="AW69" s="54"/>
    </row>
    <row r="70" customFormat="false" ht="13.2" hidden="true" customHeight="false" outlineLevel="1" collapsed="false">
      <c r="B70" s="107"/>
      <c r="C70" s="55" t="s">
        <v>68</v>
      </c>
      <c r="D70" s="113" t="s">
        <v>67</v>
      </c>
      <c r="E70" s="76"/>
      <c r="F70" s="34"/>
      <c r="G70" s="41"/>
      <c r="H70" s="41"/>
      <c r="I70" s="41"/>
      <c r="J70" s="59"/>
      <c r="K70" s="43"/>
      <c r="L70" s="43"/>
      <c r="M70" s="44" t="str">
        <f aca="false">IF(AND(U70=1,N70="",AR70&gt;0,AR70&lt;&gt;""),"TODO !","")</f>
        <v/>
      </c>
      <c r="N70" s="111"/>
      <c r="O70" s="61" t="s">
        <v>28</v>
      </c>
      <c r="P70" s="110"/>
      <c r="Q70" s="43"/>
      <c r="R70" s="77" t="n">
        <v>1</v>
      </c>
      <c r="S70" s="8"/>
      <c r="U70" s="48"/>
      <c r="V70" s="48"/>
      <c r="W70" s="26" t="str">
        <f aca="false">IF(AND(U70=1,V70=0),"Bonus","")</f>
        <v/>
      </c>
      <c r="X70" s="26"/>
      <c r="Y70" s="49" t="str">
        <f aca="false">IF(U70=1,AR70,"")</f>
        <v/>
      </c>
      <c r="Z70" s="50"/>
      <c r="AA70" s="50"/>
      <c r="AB70" s="50"/>
      <c r="AC70" s="50"/>
      <c r="AD70" s="50"/>
      <c r="AE70" s="73"/>
      <c r="AG70" s="53"/>
      <c r="AH70" s="2"/>
      <c r="AI70" s="48" t="n">
        <f aca="false">U70*V70*R70</f>
        <v>0</v>
      </c>
      <c r="AJ70" s="2"/>
      <c r="AK70" s="48" t="str">
        <f aca="false">IF(G70="x",AK$4,"")</f>
        <v/>
      </c>
      <c r="AL70" s="48" t="str">
        <f aca="false">IF(H70="x",AL$4,"")</f>
        <v/>
      </c>
      <c r="AM70" s="48" t="str">
        <f aca="false">IF(I70="x",AM$4,"")</f>
        <v/>
      </c>
      <c r="AN70" s="48" t="str">
        <f aca="false">IF(J70="x",AN$4,"")</f>
        <v/>
      </c>
      <c r="AO70" s="2"/>
      <c r="AP70" s="48" t="n">
        <f aca="false">COUNTIF(G70:J70,"=x")</f>
        <v>0</v>
      </c>
      <c r="AQ70" s="48" t="str">
        <f aca="false">IF(AP70&gt;0,AVERAGE(AK70:AN70),"")</f>
        <v/>
      </c>
      <c r="AR70" s="48" t="str">
        <f aca="false">IF(AND(AP70&gt;0,U70=1),AQ70*R70,"")</f>
        <v/>
      </c>
      <c r="AS70" s="2"/>
      <c r="AT70" s="48" t="n">
        <f aca="false">AI70*3</f>
        <v>0</v>
      </c>
      <c r="AV70" s="54"/>
      <c r="AW70" s="54"/>
    </row>
    <row r="71" customFormat="false" ht="13.2" hidden="false" customHeight="false" outlineLevel="0" collapsed="false">
      <c r="B71" s="23"/>
      <c r="C71" s="34"/>
      <c r="D71" s="34"/>
      <c r="E71" s="34"/>
      <c r="F71" s="34"/>
      <c r="G71" s="63"/>
      <c r="H71" s="63"/>
      <c r="I71" s="63"/>
      <c r="J71" s="102"/>
      <c r="K71" s="43"/>
      <c r="L71" s="43"/>
      <c r="M71" s="44"/>
      <c r="N71" s="103"/>
      <c r="O71" s="103"/>
      <c r="P71" s="43"/>
      <c r="Q71" s="43"/>
      <c r="R71" s="21"/>
      <c r="S71" s="21"/>
      <c r="U71" s="2"/>
      <c r="V71" s="2"/>
      <c r="W71" s="26" t="str">
        <f aca="false">IF(AND(U71=1,V71=0),"Bonus","")</f>
        <v/>
      </c>
      <c r="X71" s="26"/>
      <c r="Y71" s="65"/>
      <c r="Z71" s="50"/>
      <c r="AA71" s="50"/>
      <c r="AB71" s="50"/>
      <c r="AC71" s="50"/>
      <c r="AD71" s="50"/>
      <c r="AE71" s="73"/>
      <c r="AF71" s="0" t="str">
        <f aca="false">IF(AND(J71="x",AE71=""),"TODO !","")</f>
        <v/>
      </c>
      <c r="AG71" s="114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V71" s="66"/>
      <c r="AW71" s="66"/>
    </row>
    <row r="72" customFormat="false" ht="13.2" hidden="false" customHeight="false" outlineLevel="1" collapsed="false">
      <c r="B72" s="23"/>
      <c r="C72" s="34"/>
      <c r="D72" s="34"/>
      <c r="E72" s="34"/>
      <c r="F72" s="34"/>
      <c r="G72" s="63"/>
      <c r="H72" s="63"/>
      <c r="I72" s="63"/>
      <c r="J72" s="63"/>
      <c r="K72" s="43"/>
      <c r="L72" s="43"/>
      <c r="M72" s="44"/>
      <c r="N72" s="103"/>
      <c r="O72" s="103"/>
      <c r="P72" s="26"/>
      <c r="Q72" s="43"/>
      <c r="R72" s="21"/>
      <c r="S72" s="21"/>
      <c r="U72" s="2"/>
      <c r="V72" s="2"/>
      <c r="W72" s="26" t="str">
        <f aca="false">IF(AND(U72=1,V72=0),"Bonus","")</f>
        <v/>
      </c>
      <c r="X72" s="26"/>
      <c r="Y72" s="65"/>
      <c r="Z72" s="50"/>
      <c r="AA72" s="50"/>
      <c r="AB72" s="50"/>
      <c r="AC72" s="50"/>
      <c r="AD72" s="50"/>
      <c r="AE72" s="73"/>
      <c r="AG72" s="114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V72" s="66"/>
      <c r="AW72" s="66"/>
    </row>
    <row r="73" customFormat="false" ht="12.75" hidden="false" customHeight="true" outlineLevel="1" collapsed="false">
      <c r="B73" s="107" t="s">
        <v>69</v>
      </c>
      <c r="C73" s="38" t="s">
        <v>70</v>
      </c>
      <c r="D73" s="39"/>
      <c r="E73" s="92"/>
      <c r="F73" s="34"/>
      <c r="G73" s="41"/>
      <c r="H73" s="41"/>
      <c r="I73" s="42"/>
      <c r="J73" s="41"/>
      <c r="K73" s="43"/>
      <c r="L73" s="43"/>
      <c r="M73" s="44" t="str">
        <f aca="false">IF(AND(U73=1,N73="",AR73&gt;0,AR73&lt;&gt;""),"TODO !","")</f>
        <v/>
      </c>
      <c r="N73" s="45"/>
      <c r="O73" s="46" t="s">
        <v>24</v>
      </c>
      <c r="P73" s="43"/>
      <c r="Q73" s="43"/>
      <c r="R73" s="77" t="n">
        <v>3</v>
      </c>
      <c r="S73" s="8" t="n">
        <f aca="false">SUM(R73:R81)</f>
        <v>23</v>
      </c>
      <c r="U73" s="48"/>
      <c r="V73" s="48"/>
      <c r="W73" s="26" t="str">
        <f aca="false">IF(AND(U73=1,V73=0),"Bonus","")</f>
        <v/>
      </c>
      <c r="X73" s="26"/>
      <c r="Y73" s="49" t="str">
        <f aca="false">IF(U73=1,AR73,"")</f>
        <v/>
      </c>
      <c r="Z73" s="50"/>
      <c r="AA73" s="50"/>
      <c r="AB73" s="50"/>
      <c r="AC73" s="50"/>
      <c r="AD73" s="50"/>
      <c r="AE73" s="73"/>
      <c r="AG73" s="53" t="s">
        <v>71</v>
      </c>
      <c r="AH73" s="2"/>
      <c r="AI73" s="48" t="n">
        <f aca="false">U73*V73*R73</f>
        <v>0</v>
      </c>
      <c r="AJ73" s="2"/>
      <c r="AK73" s="48" t="str">
        <f aca="false">IF(G73="x",AK$4,"")</f>
        <v/>
      </c>
      <c r="AL73" s="48" t="str">
        <f aca="false">IF(H73="x",AL$4,"")</f>
        <v/>
      </c>
      <c r="AM73" s="48" t="str">
        <f aca="false">IF(I73="x",AM$4,"")</f>
        <v/>
      </c>
      <c r="AN73" s="48" t="str">
        <f aca="false">IF(J73="x",AN$4,"")</f>
        <v/>
      </c>
      <c r="AO73" s="2"/>
      <c r="AP73" s="48" t="n">
        <f aca="false">COUNTIF(G73:J73,"=x")</f>
        <v>0</v>
      </c>
      <c r="AQ73" s="48" t="str">
        <f aca="false">IF(AP73&gt;0,AVERAGE(AK73:AN73),"")</f>
        <v/>
      </c>
      <c r="AR73" s="48" t="str">
        <f aca="false">IF(AND(AP73&gt;0,U73=1),AQ73*R73,"")</f>
        <v/>
      </c>
      <c r="AS73" s="2"/>
      <c r="AT73" s="48" t="n">
        <f aca="false">AI73*3</f>
        <v>0</v>
      </c>
      <c r="AV73" s="54" t="n">
        <f aca="false">SUM(AR73:AR76,AR78:AR81)</f>
        <v>0</v>
      </c>
      <c r="AW73" s="54" t="n">
        <f aca="false">SUM(AT73:AT76,AT78:AT81)</f>
        <v>0</v>
      </c>
    </row>
    <row r="74" customFormat="false" ht="13.2" hidden="false" customHeight="false" outlineLevel="1" collapsed="false">
      <c r="B74" s="107"/>
      <c r="C74" s="82" t="s">
        <v>72</v>
      </c>
      <c r="D74" s="34"/>
      <c r="E74" s="93"/>
      <c r="F74" s="34"/>
      <c r="G74" s="41"/>
      <c r="H74" s="41"/>
      <c r="I74" s="42"/>
      <c r="J74" s="41"/>
      <c r="K74" s="43"/>
      <c r="L74" s="43"/>
      <c r="M74" s="44" t="str">
        <f aca="false">IF(AND(U74=1,N74="",AR74&gt;0,AR74&lt;&gt;""),"TODO !","")</f>
        <v/>
      </c>
      <c r="N74" s="45"/>
      <c r="O74" s="46" t="s">
        <v>24</v>
      </c>
      <c r="P74" s="110"/>
      <c r="Q74" s="43"/>
      <c r="R74" s="77" t="n">
        <v>4</v>
      </c>
      <c r="S74" s="8"/>
      <c r="U74" s="48"/>
      <c r="V74" s="48"/>
      <c r="W74" s="26" t="str">
        <f aca="false">IF(AND(U74=1,V74=0),"Bonus","")</f>
        <v/>
      </c>
      <c r="X74" s="26"/>
      <c r="Y74" s="49" t="str">
        <f aca="false">IF(U74=1,AR74,"")</f>
        <v/>
      </c>
      <c r="Z74" s="50"/>
      <c r="AA74" s="50"/>
      <c r="AB74" s="50"/>
      <c r="AC74" s="50"/>
      <c r="AD74" s="50"/>
      <c r="AE74" s="73"/>
      <c r="AG74" s="53"/>
      <c r="AH74" s="2"/>
      <c r="AI74" s="48" t="n">
        <f aca="false">U74*V74*R74</f>
        <v>0</v>
      </c>
      <c r="AJ74" s="2"/>
      <c r="AK74" s="48" t="str">
        <f aca="false">IF(G74="x",AK$4,"")</f>
        <v/>
      </c>
      <c r="AL74" s="48" t="str">
        <f aca="false">IF(H74="x",AL$4,"")</f>
        <v/>
      </c>
      <c r="AM74" s="48" t="str">
        <f aca="false">IF(I74="x",AM$4,"")</f>
        <v/>
      </c>
      <c r="AN74" s="48" t="str">
        <f aca="false">IF(J74="x",AN$4,"")</f>
        <v/>
      </c>
      <c r="AO74" s="2"/>
      <c r="AP74" s="48" t="n">
        <f aca="false">COUNTIF(G74:J74,"=x")</f>
        <v>0</v>
      </c>
      <c r="AQ74" s="48" t="str">
        <f aca="false">IF(AP74&gt;0,AVERAGE(AK74:AN74),"")</f>
        <v/>
      </c>
      <c r="AR74" s="48" t="str">
        <f aca="false">IF(AND(AP74&gt;0,U74=1),AQ74*R74,"")</f>
        <v/>
      </c>
      <c r="AS74" s="2"/>
      <c r="AT74" s="48" t="n">
        <f aca="false">AI74*3</f>
        <v>0</v>
      </c>
      <c r="AV74" s="54"/>
      <c r="AW74" s="54"/>
    </row>
    <row r="75" customFormat="false" ht="13.2" hidden="false" customHeight="false" outlineLevel="1" collapsed="false">
      <c r="B75" s="107"/>
      <c r="C75" s="82" t="s">
        <v>73</v>
      </c>
      <c r="D75" s="34"/>
      <c r="E75" s="115"/>
      <c r="F75" s="34"/>
      <c r="G75" s="41"/>
      <c r="H75" s="41"/>
      <c r="I75" s="42"/>
      <c r="J75" s="41"/>
      <c r="K75" s="43"/>
      <c r="L75" s="43"/>
      <c r="M75" s="44" t="str">
        <f aca="false">IF(AND(U75=1,N75="",AR75&gt;0,AR75&lt;&gt;""),"TODO !","")</f>
        <v/>
      </c>
      <c r="N75" s="45"/>
      <c r="O75" s="46" t="s">
        <v>24</v>
      </c>
      <c r="P75" s="110"/>
      <c r="Q75" s="43"/>
      <c r="R75" s="77" t="n">
        <v>4</v>
      </c>
      <c r="S75" s="8"/>
      <c r="U75" s="48"/>
      <c r="V75" s="48"/>
      <c r="W75" s="26" t="str">
        <f aca="false">IF(AND(U75=1,V75=0),"Bonus","")</f>
        <v/>
      </c>
      <c r="X75" s="26"/>
      <c r="Y75" s="49" t="str">
        <f aca="false">IF(U75=1,AR75,"")</f>
        <v/>
      </c>
      <c r="Z75" s="50"/>
      <c r="AA75" s="50"/>
      <c r="AB75" s="50"/>
      <c r="AC75" s="50"/>
      <c r="AD75" s="50"/>
      <c r="AE75" s="73"/>
      <c r="AG75" s="53"/>
      <c r="AH75" s="2"/>
      <c r="AI75" s="48" t="n">
        <f aca="false">U75*V75*R75</f>
        <v>0</v>
      </c>
      <c r="AJ75" s="2"/>
      <c r="AK75" s="48" t="str">
        <f aca="false">IF(G75="x",AK$4,"")</f>
        <v/>
      </c>
      <c r="AL75" s="48" t="str">
        <f aca="false">IF(H75="x",AL$4,"")</f>
        <v/>
      </c>
      <c r="AM75" s="48" t="str">
        <f aca="false">IF(I75="x",AM$4,"")</f>
        <v/>
      </c>
      <c r="AN75" s="48" t="str">
        <f aca="false">IF(J75="x",AN$4,"")</f>
        <v/>
      </c>
      <c r="AO75" s="2"/>
      <c r="AP75" s="48" t="n">
        <f aca="false">COUNTIF(G75:J75,"=x")</f>
        <v>0</v>
      </c>
      <c r="AQ75" s="48" t="str">
        <f aca="false">IF(AP75&gt;0,AVERAGE(AK75:AN75),"")</f>
        <v/>
      </c>
      <c r="AR75" s="48" t="str">
        <f aca="false">IF(AND(AP75&gt;0,U75=1),AQ75*R75,"")</f>
        <v/>
      </c>
      <c r="AS75" s="2"/>
      <c r="AT75" s="48" t="n">
        <f aca="false">AI75*3</f>
        <v>0</v>
      </c>
      <c r="AV75" s="54"/>
      <c r="AW75" s="54"/>
    </row>
    <row r="76" customFormat="false" ht="13.2" hidden="false" customHeight="false" outlineLevel="1" collapsed="false">
      <c r="B76" s="107"/>
      <c r="C76" s="82" t="s">
        <v>74</v>
      </c>
      <c r="D76" s="34"/>
      <c r="E76" s="115"/>
      <c r="F76" s="34"/>
      <c r="G76" s="41"/>
      <c r="H76" s="41"/>
      <c r="I76" s="42"/>
      <c r="J76" s="41"/>
      <c r="K76" s="43"/>
      <c r="L76" s="43"/>
      <c r="M76" s="44" t="str">
        <f aca="false">IF(AND(U76=1,N76="",AR76&gt;0,AR76&lt;&gt;""),"TODO !","")</f>
        <v/>
      </c>
      <c r="N76" s="45"/>
      <c r="O76" s="46" t="s">
        <v>24</v>
      </c>
      <c r="P76" s="110"/>
      <c r="Q76" s="43"/>
      <c r="R76" s="77" t="n">
        <v>4</v>
      </c>
      <c r="S76" s="8"/>
      <c r="U76" s="48"/>
      <c r="V76" s="48"/>
      <c r="W76" s="26" t="str">
        <f aca="false">IF(AND(U76=1,V76=0),"Bonus","")</f>
        <v/>
      </c>
      <c r="X76" s="26"/>
      <c r="Y76" s="49" t="str">
        <f aca="false">IF(U76=1,AR76,"")</f>
        <v/>
      </c>
      <c r="Z76" s="50"/>
      <c r="AA76" s="50"/>
      <c r="AB76" s="50"/>
      <c r="AC76" s="50"/>
      <c r="AD76" s="50"/>
      <c r="AE76" s="73"/>
      <c r="AG76" s="53"/>
      <c r="AH76" s="2"/>
      <c r="AI76" s="48" t="n">
        <f aca="false">U76*V76*R76</f>
        <v>0</v>
      </c>
      <c r="AJ76" s="2"/>
      <c r="AK76" s="48" t="str">
        <f aca="false">IF(G76="x",AK$4,"")</f>
        <v/>
      </c>
      <c r="AL76" s="48" t="str">
        <f aca="false">IF(H76="x",AL$4,"")</f>
        <v/>
      </c>
      <c r="AM76" s="48" t="str">
        <f aca="false">IF(I76="x",AM$4,"")</f>
        <v/>
      </c>
      <c r="AN76" s="48" t="str">
        <f aca="false">IF(J76="x",AN$4,"")</f>
        <v/>
      </c>
      <c r="AO76" s="2"/>
      <c r="AP76" s="48" t="n">
        <f aca="false">COUNTIF(G76:J76,"=x")</f>
        <v>0</v>
      </c>
      <c r="AQ76" s="48" t="str">
        <f aca="false">IF(AP76&gt;0,AVERAGE(AK76:AN76),"")</f>
        <v/>
      </c>
      <c r="AR76" s="48" t="str">
        <f aca="false">IF(AND(AP76&gt;0,U76=1),AQ76*R76,"")</f>
        <v/>
      </c>
      <c r="AS76" s="2"/>
      <c r="AT76" s="48" t="n">
        <f aca="false">AI76*3</f>
        <v>0</v>
      </c>
      <c r="AV76" s="54"/>
      <c r="AW76" s="54"/>
    </row>
    <row r="77" customFormat="false" ht="13.2" hidden="false" customHeight="false" outlineLevel="1" collapsed="false">
      <c r="B77" s="107"/>
      <c r="C77" s="82"/>
      <c r="D77" s="34"/>
      <c r="E77" s="116"/>
      <c r="F77" s="34"/>
      <c r="G77" s="63"/>
      <c r="H77" s="63"/>
      <c r="I77" s="63"/>
      <c r="J77" s="63"/>
      <c r="K77" s="43"/>
      <c r="L77" s="43"/>
      <c r="M77" s="44"/>
      <c r="N77" s="103"/>
      <c r="O77" s="103"/>
      <c r="P77" s="26"/>
      <c r="Q77" s="43"/>
      <c r="R77" s="21"/>
      <c r="S77" s="8"/>
      <c r="U77" s="2"/>
      <c r="V77" s="2"/>
      <c r="W77" s="26" t="str">
        <f aca="false">IF(AND(U77=1,V77=0),"Bonus","")</f>
        <v/>
      </c>
      <c r="X77" s="26"/>
      <c r="Y77" s="65" t="str">
        <f aca="false">IF(U77=1,AR77,"")</f>
        <v/>
      </c>
      <c r="Z77" s="50"/>
      <c r="AA77" s="50"/>
      <c r="AB77" s="50"/>
      <c r="AC77" s="50"/>
      <c r="AD77" s="50"/>
      <c r="AE77" s="73"/>
      <c r="AG77" s="53"/>
      <c r="AH77" s="2"/>
      <c r="AI77" s="117"/>
      <c r="AJ77" s="117"/>
      <c r="AK77" s="117"/>
      <c r="AL77" s="117"/>
      <c r="AM77" s="117"/>
      <c r="AN77" s="117"/>
      <c r="AO77" s="117"/>
      <c r="AP77" s="117"/>
      <c r="AQ77" s="117"/>
      <c r="AR77" s="117"/>
      <c r="AS77" s="117"/>
      <c r="AT77" s="117"/>
      <c r="AV77" s="54"/>
      <c r="AW77" s="54"/>
    </row>
    <row r="78" customFormat="false" ht="13.2" hidden="false" customHeight="false" outlineLevel="1" collapsed="false">
      <c r="B78" s="107"/>
      <c r="C78" s="82" t="s">
        <v>70</v>
      </c>
      <c r="D78" s="34"/>
      <c r="E78" s="118" t="s">
        <v>38</v>
      </c>
      <c r="F78" s="34"/>
      <c r="G78" s="119"/>
      <c r="H78" s="119"/>
      <c r="I78" s="119"/>
      <c r="J78" s="120"/>
      <c r="K78" s="43"/>
      <c r="L78" s="43"/>
      <c r="M78" s="44"/>
      <c r="N78" s="111"/>
      <c r="O78" s="61" t="s">
        <v>28</v>
      </c>
      <c r="P78" s="43"/>
      <c r="Q78" s="43"/>
      <c r="R78" s="77" t="n">
        <v>2</v>
      </c>
      <c r="S78" s="8"/>
      <c r="U78" s="48"/>
      <c r="V78" s="48"/>
      <c r="W78" s="26" t="str">
        <f aca="false">IF(AND(U78=1,V78=0),"Bonus","")</f>
        <v/>
      </c>
      <c r="X78" s="26"/>
      <c r="Y78" s="49" t="str">
        <f aca="false">IF(U78=1,AR78,"")</f>
        <v/>
      </c>
      <c r="Z78" s="50"/>
      <c r="AA78" s="50"/>
      <c r="AB78" s="50"/>
      <c r="AC78" s="50"/>
      <c r="AD78" s="50"/>
      <c r="AE78" s="73"/>
      <c r="AG78" s="53"/>
      <c r="AH78" s="2"/>
      <c r="AI78" s="48" t="n">
        <f aca="false">U78*V78*R78</f>
        <v>0</v>
      </c>
      <c r="AJ78" s="2"/>
      <c r="AK78" s="48" t="str">
        <f aca="false">IF(G78="x",AK$4,"")</f>
        <v/>
      </c>
      <c r="AL78" s="48" t="str">
        <f aca="false">IF(H78="x",AL$4,"")</f>
        <v/>
      </c>
      <c r="AM78" s="48" t="str">
        <f aca="false">IF(I78="x",AM$4,"")</f>
        <v/>
      </c>
      <c r="AN78" s="48" t="str">
        <f aca="false">IF(J78="x",AN$4,"")</f>
        <v/>
      </c>
      <c r="AO78" s="2"/>
      <c r="AP78" s="48" t="n">
        <f aca="false">COUNTIF(G78:J78,"=x")</f>
        <v>0</v>
      </c>
      <c r="AQ78" s="48" t="str">
        <f aca="false">IF(AP78&gt;0,AVERAGE(AK78:AN78),"")</f>
        <v/>
      </c>
      <c r="AR78" s="48" t="str">
        <f aca="false">IF(AND(AP78&gt;0,U78=1),AQ78*R78,"")</f>
        <v/>
      </c>
      <c r="AS78" s="2"/>
      <c r="AT78" s="48" t="n">
        <f aca="false">AI78*3</f>
        <v>0</v>
      </c>
      <c r="AV78" s="54"/>
      <c r="AW78" s="54"/>
    </row>
    <row r="79" customFormat="false" ht="13.2" hidden="false" customHeight="false" outlineLevel="1" collapsed="false">
      <c r="B79" s="107"/>
      <c r="C79" s="82" t="s">
        <v>72</v>
      </c>
      <c r="D79" s="34"/>
      <c r="E79" s="118"/>
      <c r="F79" s="34"/>
      <c r="G79" s="119"/>
      <c r="H79" s="119"/>
      <c r="I79" s="119"/>
      <c r="J79" s="120"/>
      <c r="K79" s="43"/>
      <c r="L79" s="43"/>
      <c r="M79" s="44" t="str">
        <f aca="false">IF(AND(U79=1,N79="",AR79&gt;0,AR79&lt;&gt;""),"TODO !","")</f>
        <v/>
      </c>
      <c r="N79" s="111"/>
      <c r="O79" s="61" t="s">
        <v>28</v>
      </c>
      <c r="P79" s="110"/>
      <c r="Q79" s="43"/>
      <c r="R79" s="77" t="n">
        <v>2</v>
      </c>
      <c r="S79" s="8"/>
      <c r="U79" s="48"/>
      <c r="V79" s="48"/>
      <c r="W79" s="26" t="str">
        <f aca="false">IF(AND(U79=1,V79=0),"Bonus","")</f>
        <v/>
      </c>
      <c r="X79" s="26"/>
      <c r="Y79" s="49" t="str">
        <f aca="false">IF(U79=1,AR79,"")</f>
        <v/>
      </c>
      <c r="Z79" s="50"/>
      <c r="AA79" s="50"/>
      <c r="AB79" s="50"/>
      <c r="AC79" s="50"/>
      <c r="AD79" s="50"/>
      <c r="AE79" s="73"/>
      <c r="AG79" s="53"/>
      <c r="AH79" s="2"/>
      <c r="AI79" s="48" t="n">
        <f aca="false">U79*V79*R79</f>
        <v>0</v>
      </c>
      <c r="AJ79" s="2"/>
      <c r="AK79" s="48" t="str">
        <f aca="false">IF(G79="x",AK$4,"")</f>
        <v/>
      </c>
      <c r="AL79" s="48" t="str">
        <f aca="false">IF(H79="x",AL$4,"")</f>
        <v/>
      </c>
      <c r="AM79" s="48" t="str">
        <f aca="false">IF(I79="x",AM$4,"")</f>
        <v/>
      </c>
      <c r="AN79" s="48" t="str">
        <f aca="false">IF(J79="x",AN$4,"")</f>
        <v/>
      </c>
      <c r="AO79" s="2"/>
      <c r="AP79" s="48" t="n">
        <f aca="false">COUNTIF(G79:J79,"=x")</f>
        <v>0</v>
      </c>
      <c r="AQ79" s="48" t="str">
        <f aca="false">IF(AP79&gt;0,AVERAGE(AK79:AN79),"")</f>
        <v/>
      </c>
      <c r="AR79" s="48" t="str">
        <f aca="false">IF(AND(AP79&gt;0,U79=1),AQ79*R79,"")</f>
        <v/>
      </c>
      <c r="AS79" s="2"/>
      <c r="AT79" s="48" t="n">
        <f aca="false">AI79*3</f>
        <v>0</v>
      </c>
      <c r="AV79" s="54"/>
      <c r="AW79" s="54"/>
    </row>
    <row r="80" customFormat="false" ht="13.2" hidden="false" customHeight="false" outlineLevel="1" collapsed="false">
      <c r="B80" s="107"/>
      <c r="C80" s="82" t="s">
        <v>73</v>
      </c>
      <c r="D80" s="34"/>
      <c r="E80" s="118"/>
      <c r="F80" s="34"/>
      <c r="G80" s="119"/>
      <c r="H80" s="119"/>
      <c r="I80" s="119"/>
      <c r="J80" s="120"/>
      <c r="K80" s="43"/>
      <c r="L80" s="43"/>
      <c r="M80" s="44" t="str">
        <f aca="false">IF(AND(U80=1,N80="",AR80&gt;0,AR80&lt;&gt;""),"TODO !","")</f>
        <v/>
      </c>
      <c r="N80" s="111"/>
      <c r="O80" s="61" t="s">
        <v>28</v>
      </c>
      <c r="P80" s="43"/>
      <c r="Q80" s="43"/>
      <c r="R80" s="77" t="n">
        <v>2</v>
      </c>
      <c r="S80" s="8"/>
      <c r="U80" s="48"/>
      <c r="V80" s="48"/>
      <c r="W80" s="26" t="str">
        <f aca="false">IF(AND(U80=1,V80=0),"Bonus","")</f>
        <v/>
      </c>
      <c r="X80" s="26"/>
      <c r="Y80" s="49" t="str">
        <f aca="false">IF(U80=1,AR80,"")</f>
        <v/>
      </c>
      <c r="Z80" s="50"/>
      <c r="AA80" s="50"/>
      <c r="AB80" s="50"/>
      <c r="AC80" s="50"/>
      <c r="AD80" s="50"/>
      <c r="AE80" s="73"/>
      <c r="AG80" s="53"/>
      <c r="AH80" s="2"/>
      <c r="AI80" s="48" t="n">
        <f aca="false">U80*V80*R80</f>
        <v>0</v>
      </c>
      <c r="AJ80" s="2"/>
      <c r="AK80" s="48" t="str">
        <f aca="false">IF(G80="x",AK$4,"")</f>
        <v/>
      </c>
      <c r="AL80" s="48" t="str">
        <f aca="false">IF(H80="x",AL$4,"")</f>
        <v/>
      </c>
      <c r="AM80" s="48" t="str">
        <f aca="false">IF(I80="x",AM$4,"")</f>
        <v/>
      </c>
      <c r="AN80" s="48" t="str">
        <f aca="false">IF(J80="x",AN$4,"")</f>
        <v/>
      </c>
      <c r="AO80" s="2"/>
      <c r="AP80" s="48" t="n">
        <f aca="false">COUNTIF(G80:J80,"=x")</f>
        <v>0</v>
      </c>
      <c r="AQ80" s="48" t="str">
        <f aca="false">IF(AP80&gt;0,AVERAGE(AK80:AN80),"")</f>
        <v/>
      </c>
      <c r="AR80" s="48" t="str">
        <f aca="false">IF(AND(AP80&gt;0,U80=1),AQ80*R80,"")</f>
        <v/>
      </c>
      <c r="AS80" s="2"/>
      <c r="AT80" s="48" t="n">
        <f aca="false">AI80*3</f>
        <v>0</v>
      </c>
      <c r="AV80" s="54"/>
      <c r="AW80" s="54"/>
    </row>
    <row r="81" customFormat="false" ht="13.2" hidden="false" customHeight="false" outlineLevel="1" collapsed="false">
      <c r="B81" s="107"/>
      <c r="C81" s="55" t="s">
        <v>74</v>
      </c>
      <c r="D81" s="56"/>
      <c r="E81" s="118"/>
      <c r="F81" s="34"/>
      <c r="G81" s="119"/>
      <c r="H81" s="119"/>
      <c r="I81" s="119"/>
      <c r="J81" s="120"/>
      <c r="K81" s="43"/>
      <c r="L81" s="43"/>
      <c r="M81" s="44" t="str">
        <f aca="false">IF(AND(U81=1,N81="",AR81&gt;0,AR81&lt;&gt;""),"TODO !","")</f>
        <v/>
      </c>
      <c r="N81" s="111"/>
      <c r="O81" s="61" t="s">
        <v>28</v>
      </c>
      <c r="P81" s="43"/>
      <c r="Q81" s="43"/>
      <c r="R81" s="77" t="n">
        <v>2</v>
      </c>
      <c r="S81" s="8"/>
      <c r="U81" s="48"/>
      <c r="V81" s="48"/>
      <c r="W81" s="26" t="str">
        <f aca="false">IF(AND(U81=1,V81=0),"Bonus","")</f>
        <v/>
      </c>
      <c r="X81" s="26"/>
      <c r="Y81" s="49" t="str">
        <f aca="false">IF(U81=1,AR81,"")</f>
        <v/>
      </c>
      <c r="Z81" s="50"/>
      <c r="AA81" s="50"/>
      <c r="AB81" s="50"/>
      <c r="AC81" s="50"/>
      <c r="AD81" s="50"/>
      <c r="AE81" s="73"/>
      <c r="AG81" s="53"/>
      <c r="AH81" s="2"/>
      <c r="AI81" s="48" t="n">
        <f aca="false">U81*V81*R81</f>
        <v>0</v>
      </c>
      <c r="AJ81" s="2"/>
      <c r="AK81" s="48" t="str">
        <f aca="false">IF(G81="x",AK$4,"")</f>
        <v/>
      </c>
      <c r="AL81" s="48" t="str">
        <f aca="false">IF(H81="x",AL$4,"")</f>
        <v/>
      </c>
      <c r="AM81" s="48" t="str">
        <f aca="false">IF(I81="x",AM$4,"")</f>
        <v/>
      </c>
      <c r="AN81" s="48" t="str">
        <f aca="false">IF(J81="x",AN$4,"")</f>
        <v/>
      </c>
      <c r="AO81" s="2"/>
      <c r="AP81" s="48" t="n">
        <f aca="false">COUNTIF(G81:J81,"=x")</f>
        <v>0</v>
      </c>
      <c r="AQ81" s="48" t="str">
        <f aca="false">IF(AP81&gt;0,AVERAGE(AK81:AN81),"")</f>
        <v/>
      </c>
      <c r="AR81" s="48" t="str">
        <f aca="false">IF(AND(AP81&gt;0,U81=1),AQ81*R81,"")</f>
        <v/>
      </c>
      <c r="AS81" s="2"/>
      <c r="AT81" s="48" t="n">
        <f aca="false">AI81*3</f>
        <v>0</v>
      </c>
      <c r="AV81" s="54"/>
      <c r="AW81" s="54"/>
    </row>
    <row r="82" customFormat="false" ht="13.2" hidden="false" customHeight="false" outlineLevel="1" collapsed="false">
      <c r="B82" s="23"/>
      <c r="C82" s="34"/>
      <c r="D82" s="34"/>
      <c r="E82" s="34"/>
      <c r="F82" s="34"/>
      <c r="G82" s="63"/>
      <c r="H82" s="63"/>
      <c r="I82" s="63"/>
      <c r="J82" s="63"/>
      <c r="K82" s="43"/>
      <c r="L82" s="43"/>
      <c r="M82" s="44"/>
      <c r="N82" s="103"/>
      <c r="O82" s="103"/>
      <c r="P82" s="43"/>
      <c r="Q82" s="43"/>
      <c r="S82" s="69"/>
      <c r="U82" s="2"/>
      <c r="V82" s="2"/>
      <c r="W82" s="26"/>
      <c r="X82" s="26"/>
      <c r="Y82" s="65"/>
      <c r="Z82" s="50"/>
      <c r="AA82" s="50"/>
      <c r="AB82" s="50"/>
      <c r="AC82" s="50"/>
      <c r="AD82" s="50"/>
      <c r="AE82" s="73"/>
      <c r="AG82" s="114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V82" s="66"/>
      <c r="AW82" s="66"/>
    </row>
    <row r="83" customFormat="false" ht="13.2" hidden="false" customHeight="false" outlineLevel="0" collapsed="false">
      <c r="B83" s="23"/>
      <c r="C83" s="34"/>
      <c r="D83" s="34"/>
      <c r="E83" s="34"/>
      <c r="F83" s="34"/>
      <c r="G83" s="63"/>
      <c r="H83" s="63"/>
      <c r="I83" s="63"/>
      <c r="J83" s="63"/>
      <c r="K83" s="43"/>
      <c r="L83" s="43"/>
      <c r="M83" s="44" t="str">
        <f aca="false">IF(AND(U83=1,N83="",AR83&gt;0,AR83&lt;&gt;""),"TODO !","")</f>
        <v/>
      </c>
      <c r="N83" s="64"/>
      <c r="O83" s="61"/>
      <c r="P83" s="26" t="s">
        <v>29</v>
      </c>
      <c r="Q83" s="43"/>
      <c r="R83" s="21"/>
      <c r="S83" s="21"/>
      <c r="U83" s="2"/>
      <c r="V83" s="2"/>
      <c r="W83" s="26"/>
      <c r="X83" s="26"/>
      <c r="Y83" s="65"/>
      <c r="Z83" s="50"/>
      <c r="AA83" s="50"/>
      <c r="AB83" s="50"/>
      <c r="AC83" s="50"/>
      <c r="AD83" s="50"/>
      <c r="AE83" s="73"/>
      <c r="AG83" s="121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</row>
    <row r="84" customFormat="false" ht="12.8" hidden="false" customHeight="false" outlineLevel="1" collapsed="false">
      <c r="B84" s="107" t="s">
        <v>75</v>
      </c>
      <c r="C84" s="38" t="s">
        <v>76</v>
      </c>
      <c r="D84" s="39"/>
      <c r="E84" s="92"/>
      <c r="F84" s="34"/>
      <c r="G84" s="41"/>
      <c r="H84" s="41"/>
      <c r="I84" s="42"/>
      <c r="J84" s="41" t="s">
        <v>22</v>
      </c>
      <c r="K84" s="43" t="s">
        <v>23</v>
      </c>
      <c r="L84" s="43"/>
      <c r="M84" s="44" t="str">
        <f aca="false">IF(AND(U84=1,N84="",AR84&gt;0,AR84&lt;&gt;""),"TODO !","")</f>
        <v/>
      </c>
      <c r="N84" s="45" t="n">
        <v>103</v>
      </c>
      <c r="O84" s="46" t="s">
        <v>24</v>
      </c>
      <c r="P84" s="72" t="n">
        <v>1</v>
      </c>
      <c r="Q84" s="43"/>
      <c r="R84" s="77" t="n">
        <v>1</v>
      </c>
      <c r="S84" s="8" t="n">
        <f aca="false">SUM(R84:R90)</f>
        <v>26</v>
      </c>
      <c r="U84" s="48" t="n">
        <v>1</v>
      </c>
      <c r="V84" s="48" t="n">
        <v>1</v>
      </c>
      <c r="W84" s="26" t="str">
        <f aca="false">IF(AND(U84=1,V84=0),"Bonus","")</f>
        <v/>
      </c>
      <c r="X84" s="26"/>
      <c r="Y84" s="49" t="n">
        <f aca="false">IF(U84=1,AR84,"")</f>
        <v>3</v>
      </c>
      <c r="Z84" s="50"/>
      <c r="AA84" s="50"/>
      <c r="AB84" s="50"/>
      <c r="AC84" s="50"/>
      <c r="AD84" s="50"/>
      <c r="AE84" s="73"/>
      <c r="AG84" s="53" t="s">
        <v>77</v>
      </c>
      <c r="AH84" s="2"/>
      <c r="AI84" s="48" t="n">
        <f aca="false">U84*V84*R84</f>
        <v>1</v>
      </c>
      <c r="AJ84" s="2"/>
      <c r="AK84" s="48" t="str">
        <f aca="false">IF(G84="x",AK$4,"")</f>
        <v/>
      </c>
      <c r="AL84" s="48" t="str">
        <f aca="false">IF(H84="x",AL$4,"")</f>
        <v/>
      </c>
      <c r="AM84" s="48" t="str">
        <f aca="false">IF(I84="x",AM$4,"")</f>
        <v/>
      </c>
      <c r="AN84" s="48" t="n">
        <f aca="false">IF(J84="x",AN$4,"")</f>
        <v>3</v>
      </c>
      <c r="AO84" s="2"/>
      <c r="AP84" s="48" t="n">
        <f aca="false">COUNTIF(G84:J84,"=x")</f>
        <v>1</v>
      </c>
      <c r="AQ84" s="48" t="n">
        <f aca="false">IF(AP84&gt;0,AVERAGE(AK84:AN84),"")</f>
        <v>3</v>
      </c>
      <c r="AR84" s="48" t="n">
        <f aca="false">IF(AND(AP84&gt;0,U84=1),AQ84*R84,"")</f>
        <v>3</v>
      </c>
      <c r="AS84" s="2"/>
      <c r="AT84" s="48" t="n">
        <f aca="false">AI84*3</f>
        <v>3</v>
      </c>
      <c r="AV84" s="54" t="n">
        <f aca="false">SUM(AR84:AR90)</f>
        <v>78</v>
      </c>
      <c r="AW84" s="54" t="n">
        <f aca="false">SUM(AT84:AT90)</f>
        <v>78</v>
      </c>
    </row>
    <row r="85" customFormat="false" ht="12.8" hidden="false" customHeight="false" outlineLevel="1" collapsed="false">
      <c r="B85" s="107"/>
      <c r="C85" s="82" t="s">
        <v>78</v>
      </c>
      <c r="D85" s="34"/>
      <c r="E85" s="93"/>
      <c r="F85" s="34"/>
      <c r="G85" s="41"/>
      <c r="H85" s="41"/>
      <c r="I85" s="42"/>
      <c r="J85" s="41" t="s">
        <v>22</v>
      </c>
      <c r="K85" s="43" t="s">
        <v>23</v>
      </c>
      <c r="L85" s="43"/>
      <c r="M85" s="44" t="str">
        <f aca="false">IF(AND(U85=1,N85="",AR85&gt;0,AR85&lt;&gt;""),"TODO !","")</f>
        <v/>
      </c>
      <c r="N85" s="45" t="n">
        <v>114</v>
      </c>
      <c r="O85" s="46" t="s">
        <v>24</v>
      </c>
      <c r="P85" s="110" t="n">
        <f aca="false">IF(N85&lt;&gt;"",N85/$N$84,"")</f>
        <v>1.10679611650485</v>
      </c>
      <c r="Q85" s="43"/>
      <c r="R85" s="77" t="n">
        <v>6</v>
      </c>
      <c r="S85" s="8"/>
      <c r="U85" s="48" t="n">
        <v>1</v>
      </c>
      <c r="V85" s="48" t="n">
        <v>1</v>
      </c>
      <c r="W85" s="26" t="str">
        <f aca="false">IF(AND(U85=1,V85=0),"Bonus","")</f>
        <v/>
      </c>
      <c r="X85" s="26"/>
      <c r="Y85" s="49" t="n">
        <f aca="false">IF(U85=1,AR85,"")</f>
        <v>18</v>
      </c>
      <c r="Z85" s="50"/>
      <c r="AA85" s="50"/>
      <c r="AB85" s="50"/>
      <c r="AC85" s="50"/>
      <c r="AD85" s="50"/>
      <c r="AE85" s="73"/>
      <c r="AG85" s="53"/>
      <c r="AH85" s="2"/>
      <c r="AI85" s="48" t="n">
        <f aca="false">U85*V85*R85</f>
        <v>6</v>
      </c>
      <c r="AJ85" s="2"/>
      <c r="AK85" s="48" t="str">
        <f aca="false">IF(G85="x",AK$4,"")</f>
        <v/>
      </c>
      <c r="AL85" s="48" t="str">
        <f aca="false">IF(H85="x",AL$4,"")</f>
        <v/>
      </c>
      <c r="AM85" s="48" t="str">
        <f aca="false">IF(I85="x",AM$4,"")</f>
        <v/>
      </c>
      <c r="AN85" s="48" t="n">
        <f aca="false">IF(J85="x",AN$4,"")</f>
        <v>3</v>
      </c>
      <c r="AO85" s="2"/>
      <c r="AP85" s="48" t="n">
        <f aca="false">COUNTIF(G85:J85,"=x")</f>
        <v>1</v>
      </c>
      <c r="AQ85" s="48" t="n">
        <f aca="false">IF(AP85&gt;0,AVERAGE(AK85:AN85),"")</f>
        <v>3</v>
      </c>
      <c r="AR85" s="48" t="n">
        <f aca="false">IF(AND(AP85&gt;0,U85=1),AQ85*R85,"")</f>
        <v>18</v>
      </c>
      <c r="AS85" s="2"/>
      <c r="AT85" s="48" t="n">
        <f aca="false">AI85*3</f>
        <v>18</v>
      </c>
      <c r="AV85" s="54"/>
      <c r="AW85" s="54"/>
    </row>
    <row r="86" customFormat="false" ht="12.8" hidden="false" customHeight="false" outlineLevel="1" collapsed="false">
      <c r="B86" s="107"/>
      <c r="C86" s="82" t="s">
        <v>79</v>
      </c>
      <c r="D86" s="34"/>
      <c r="E86" s="93"/>
      <c r="F86" s="34"/>
      <c r="G86" s="41"/>
      <c r="H86" s="41"/>
      <c r="I86" s="42"/>
      <c r="J86" s="41" t="s">
        <v>22</v>
      </c>
      <c r="K86" s="43" t="s">
        <v>23</v>
      </c>
      <c r="L86" s="43"/>
      <c r="M86" s="44" t="str">
        <f aca="false">IF(AND(U86=1,N86="",AR86&gt;0,AR86&lt;&gt;""),"TODO !","")</f>
        <v/>
      </c>
      <c r="N86" s="45" t="n">
        <v>217</v>
      </c>
      <c r="O86" s="46" t="s">
        <v>24</v>
      </c>
      <c r="P86" s="110" t="n">
        <f aca="false">IF(N86&lt;&gt;"",N86/$N$84,"")</f>
        <v>2.10679611650485</v>
      </c>
      <c r="Q86" s="43"/>
      <c r="R86" s="77" t="n">
        <v>9</v>
      </c>
      <c r="S86" s="8"/>
      <c r="U86" s="48" t="n">
        <v>1</v>
      </c>
      <c r="V86" s="48" t="n">
        <v>1</v>
      </c>
      <c r="W86" s="26" t="str">
        <f aca="false">IF(AND(U86=1,V86=0),"Bonus","")</f>
        <v/>
      </c>
      <c r="X86" s="26"/>
      <c r="Y86" s="49" t="n">
        <f aca="false">IF(U86=1,AR86,"")</f>
        <v>27</v>
      </c>
      <c r="Z86" s="50"/>
      <c r="AA86" s="50"/>
      <c r="AB86" s="50"/>
      <c r="AC86" s="50"/>
      <c r="AD86" s="50"/>
      <c r="AE86" s="73"/>
      <c r="AG86" s="53"/>
      <c r="AH86" s="2"/>
      <c r="AI86" s="48" t="n">
        <f aca="false">U86*V86*R86</f>
        <v>9</v>
      </c>
      <c r="AJ86" s="2"/>
      <c r="AK86" s="48" t="str">
        <f aca="false">IF(G86="x",AK$4,"")</f>
        <v/>
      </c>
      <c r="AL86" s="48" t="str">
        <f aca="false">IF(H86="x",AL$4,"")</f>
        <v/>
      </c>
      <c r="AM86" s="48" t="str">
        <f aca="false">IF(I86="x",AM$4,"")</f>
        <v/>
      </c>
      <c r="AN86" s="48" t="n">
        <f aca="false">IF(J86="x",AN$4,"")</f>
        <v>3</v>
      </c>
      <c r="AO86" s="2"/>
      <c r="AP86" s="48" t="n">
        <f aca="false">COUNTIF(G86:J86,"=x")</f>
        <v>1</v>
      </c>
      <c r="AQ86" s="48" t="n">
        <f aca="false">IF(AP86&gt;0,AVERAGE(AK86:AN86),"")</f>
        <v>3</v>
      </c>
      <c r="AR86" s="48" t="n">
        <f aca="false">IF(AND(AP86&gt;0,U86=1),AQ86*R86,"")</f>
        <v>27</v>
      </c>
      <c r="AS86" s="2"/>
      <c r="AT86" s="48" t="n">
        <f aca="false">AI86*3</f>
        <v>27</v>
      </c>
      <c r="AV86" s="54"/>
      <c r="AW86" s="54"/>
    </row>
    <row r="87" customFormat="false" ht="13.2" hidden="false" customHeight="false" outlineLevel="1" collapsed="false">
      <c r="B87" s="107"/>
      <c r="C87" s="82"/>
      <c r="D87" s="34"/>
      <c r="E87" s="93"/>
      <c r="F87" s="34"/>
      <c r="G87" s="63"/>
      <c r="H87" s="63"/>
      <c r="I87" s="63"/>
      <c r="J87" s="63"/>
      <c r="K87" s="43"/>
      <c r="L87" s="43"/>
      <c r="M87" s="44"/>
      <c r="N87" s="64"/>
      <c r="O87" s="61"/>
      <c r="P87" s="110"/>
      <c r="Q87" s="43"/>
      <c r="R87" s="21"/>
      <c r="S87" s="8"/>
      <c r="U87" s="2"/>
      <c r="V87" s="2"/>
      <c r="W87" s="26"/>
      <c r="X87" s="26"/>
      <c r="Y87" s="65"/>
      <c r="Z87" s="50"/>
      <c r="AA87" s="50"/>
      <c r="AB87" s="50"/>
      <c r="AC87" s="50"/>
      <c r="AD87" s="50"/>
      <c r="AE87" s="73"/>
      <c r="AG87" s="53"/>
      <c r="AH87" s="2"/>
      <c r="AI87" s="2"/>
      <c r="AJ87" s="2"/>
      <c r="AK87" s="2"/>
      <c r="AL87" s="2"/>
      <c r="AM87" s="2" t="str">
        <f aca="false">IF(I87="x",AM$4,"")</f>
        <v/>
      </c>
      <c r="AN87" s="2"/>
      <c r="AO87" s="2"/>
      <c r="AP87" s="2"/>
      <c r="AQ87" s="2"/>
      <c r="AR87" s="2"/>
      <c r="AS87" s="2"/>
      <c r="AT87" s="2"/>
      <c r="AV87" s="54"/>
      <c r="AW87" s="54"/>
    </row>
    <row r="88" customFormat="false" ht="13.2" hidden="false" customHeight="false" outlineLevel="1" collapsed="false">
      <c r="B88" s="107"/>
      <c r="C88" s="82" t="s">
        <v>76</v>
      </c>
      <c r="D88" s="34"/>
      <c r="E88" s="76" t="s">
        <v>38</v>
      </c>
      <c r="F88" s="34"/>
      <c r="G88" s="41"/>
      <c r="H88" s="41"/>
      <c r="I88" s="41"/>
      <c r="J88" s="59" t="s">
        <v>22</v>
      </c>
      <c r="K88" s="43" t="s">
        <v>23</v>
      </c>
      <c r="L88" s="43"/>
      <c r="M88" s="44" t="str">
        <f aca="false">IF(AND(U88=1,N88="",AR88&gt;0,AR88&lt;&gt;""),"TODO !","")</f>
        <v/>
      </c>
      <c r="N88" s="111" t="n">
        <v>23</v>
      </c>
      <c r="O88" s="61" t="s">
        <v>28</v>
      </c>
      <c r="P88" s="110"/>
      <c r="Q88" s="43"/>
      <c r="R88" s="77" t="n">
        <v>1</v>
      </c>
      <c r="S88" s="8"/>
      <c r="U88" s="48" t="n">
        <v>1</v>
      </c>
      <c r="V88" s="48" t="n">
        <v>1</v>
      </c>
      <c r="W88" s="26" t="str">
        <f aca="false">IF(AND(U88=1,V88=0),"Bonus","")</f>
        <v/>
      </c>
      <c r="X88" s="26"/>
      <c r="Y88" s="49" t="n">
        <f aca="false">IF(U88=1,AR88,"")</f>
        <v>3</v>
      </c>
      <c r="Z88" s="50"/>
      <c r="AA88" s="50"/>
      <c r="AB88" s="50"/>
      <c r="AC88" s="50"/>
      <c r="AD88" s="50"/>
      <c r="AE88" s="73"/>
      <c r="AG88" s="53"/>
      <c r="AH88" s="2"/>
      <c r="AI88" s="48" t="n">
        <f aca="false">U88*V88*R88</f>
        <v>1</v>
      </c>
      <c r="AJ88" s="2"/>
      <c r="AK88" s="48" t="str">
        <f aca="false">IF(G88="x",AK$4,"")</f>
        <v/>
      </c>
      <c r="AL88" s="48" t="str">
        <f aca="false">IF(H88="x",AL$4,"")</f>
        <v/>
      </c>
      <c r="AM88" s="48" t="str">
        <f aca="false">IF(I88="x",AM$4,"")</f>
        <v/>
      </c>
      <c r="AN88" s="48" t="n">
        <f aca="false">IF(J88="x",AN$4,"")</f>
        <v>3</v>
      </c>
      <c r="AO88" s="2"/>
      <c r="AP88" s="48" t="n">
        <f aca="false">COUNTIF(G88:J88,"=x")</f>
        <v>1</v>
      </c>
      <c r="AQ88" s="48" t="n">
        <f aca="false">IF(AP88&gt;0,AVERAGE(AK88:AN88),"")</f>
        <v>3</v>
      </c>
      <c r="AR88" s="48" t="n">
        <f aca="false">IF(AND(AP88&gt;0,U88=1),AQ88*R88,"")</f>
        <v>3</v>
      </c>
      <c r="AS88" s="2"/>
      <c r="AT88" s="48" t="n">
        <f aca="false">AI88*3</f>
        <v>3</v>
      </c>
      <c r="AV88" s="54"/>
      <c r="AW88" s="54"/>
    </row>
    <row r="89" customFormat="false" ht="13.2" hidden="false" customHeight="false" outlineLevel="1" collapsed="false">
      <c r="B89" s="107"/>
      <c r="C89" s="82" t="s">
        <v>78</v>
      </c>
      <c r="D89" s="34"/>
      <c r="E89" s="76"/>
      <c r="F89" s="34"/>
      <c r="G89" s="41"/>
      <c r="H89" s="41"/>
      <c r="I89" s="41"/>
      <c r="J89" s="59" t="s">
        <v>22</v>
      </c>
      <c r="K89" s="43" t="s">
        <v>23</v>
      </c>
      <c r="L89" s="43"/>
      <c r="M89" s="44" t="str">
        <f aca="false">IF(AND(U89=1,N89="",AR89&gt;0,AR89&lt;&gt;""),"TODO !","")</f>
        <v/>
      </c>
      <c r="N89" s="111" t="n">
        <v>23</v>
      </c>
      <c r="O89" s="61" t="s">
        <v>28</v>
      </c>
      <c r="P89" s="110"/>
      <c r="Q89" s="43"/>
      <c r="R89" s="77" t="n">
        <v>4</v>
      </c>
      <c r="S89" s="8"/>
      <c r="U89" s="48" t="n">
        <v>1</v>
      </c>
      <c r="V89" s="48" t="n">
        <v>1</v>
      </c>
      <c r="W89" s="26" t="str">
        <f aca="false">IF(AND(U89=1,V89=0),"Bonus","")</f>
        <v/>
      </c>
      <c r="X89" s="26"/>
      <c r="Y89" s="49" t="n">
        <f aca="false">IF(U89=1,AR89,"")</f>
        <v>12</v>
      </c>
      <c r="Z89" s="50"/>
      <c r="AA89" s="50"/>
      <c r="AB89" s="50"/>
      <c r="AC89" s="50"/>
      <c r="AD89" s="50"/>
      <c r="AE89" s="73"/>
      <c r="AG89" s="53"/>
      <c r="AH89" s="2"/>
      <c r="AI89" s="48" t="n">
        <f aca="false">U89*V89*R89</f>
        <v>4</v>
      </c>
      <c r="AJ89" s="2"/>
      <c r="AK89" s="48" t="str">
        <f aca="false">IF(G89="x",AK$4,"")</f>
        <v/>
      </c>
      <c r="AL89" s="48" t="str">
        <f aca="false">IF(H89="x",AL$4,"")</f>
        <v/>
      </c>
      <c r="AM89" s="48" t="str">
        <f aca="false">IF(I89="x",AM$4,"")</f>
        <v/>
      </c>
      <c r="AN89" s="48" t="n">
        <f aca="false">IF(J89="x",AN$4,"")</f>
        <v>3</v>
      </c>
      <c r="AO89" s="2"/>
      <c r="AP89" s="48" t="n">
        <f aca="false">COUNTIF(G89:J89,"=x")</f>
        <v>1</v>
      </c>
      <c r="AQ89" s="48" t="n">
        <f aca="false">IF(AP89&gt;0,AVERAGE(AK89:AN89),"")</f>
        <v>3</v>
      </c>
      <c r="AR89" s="48" t="n">
        <f aca="false">IF(AND(AP89&gt;0,U89=1),AQ89*R89,"")</f>
        <v>12</v>
      </c>
      <c r="AS89" s="2"/>
      <c r="AT89" s="48" t="n">
        <f aca="false">AI89*3</f>
        <v>12</v>
      </c>
      <c r="AV89" s="54"/>
      <c r="AW89" s="54"/>
    </row>
    <row r="90" customFormat="false" ht="12.8" hidden="false" customHeight="false" outlineLevel="1" collapsed="false">
      <c r="B90" s="107"/>
      <c r="C90" s="55" t="s">
        <v>79</v>
      </c>
      <c r="D90" s="56"/>
      <c r="E90" s="76"/>
      <c r="F90" s="34"/>
      <c r="G90" s="41"/>
      <c r="H90" s="41"/>
      <c r="I90" s="41"/>
      <c r="J90" s="59" t="s">
        <v>22</v>
      </c>
      <c r="K90" s="43" t="s">
        <v>23</v>
      </c>
      <c r="L90" s="43"/>
      <c r="M90" s="44" t="str">
        <f aca="false">IF(AND(U90=1,N90="",AR90&gt;0,AR90&lt;&gt;""),"TODO !","")</f>
        <v/>
      </c>
      <c r="N90" s="111" t="n">
        <v>31</v>
      </c>
      <c r="O90" s="61" t="s">
        <v>28</v>
      </c>
      <c r="P90" s="110"/>
      <c r="Q90" s="43"/>
      <c r="R90" s="77" t="n">
        <v>5</v>
      </c>
      <c r="S90" s="8"/>
      <c r="U90" s="48" t="n">
        <v>1</v>
      </c>
      <c r="V90" s="48" t="n">
        <v>1</v>
      </c>
      <c r="W90" s="26" t="str">
        <f aca="false">IF(AND(U90=1,V90=0),"Bonus","")</f>
        <v/>
      </c>
      <c r="X90" s="26"/>
      <c r="Y90" s="49" t="n">
        <f aca="false">IF(U90=1,AR90,"")</f>
        <v>15</v>
      </c>
      <c r="Z90" s="50"/>
      <c r="AA90" s="50"/>
      <c r="AB90" s="50"/>
      <c r="AC90" s="50"/>
      <c r="AD90" s="50"/>
      <c r="AE90" s="73"/>
      <c r="AG90" s="53"/>
      <c r="AH90" s="2"/>
      <c r="AI90" s="48" t="n">
        <f aca="false">U90*V90*R90</f>
        <v>5</v>
      </c>
      <c r="AJ90" s="2"/>
      <c r="AK90" s="48" t="str">
        <f aca="false">IF(G90="x",AK$4,"")</f>
        <v/>
      </c>
      <c r="AL90" s="48" t="str">
        <f aca="false">IF(H90="x",AL$4,"")</f>
        <v/>
      </c>
      <c r="AM90" s="48" t="str">
        <f aca="false">IF(I90="x",AM$4,"")</f>
        <v/>
      </c>
      <c r="AN90" s="48" t="n">
        <f aca="false">IF(J90="x",AN$4,"")</f>
        <v>3</v>
      </c>
      <c r="AO90" s="2"/>
      <c r="AP90" s="48" t="n">
        <f aca="false">COUNTIF(G90:J90,"=x")</f>
        <v>1</v>
      </c>
      <c r="AQ90" s="48" t="n">
        <f aca="false">IF(AP90&gt;0,AVERAGE(AK90:AN90),"")</f>
        <v>3</v>
      </c>
      <c r="AR90" s="48" t="n">
        <f aca="false">IF(AND(AP90&gt;0,U90=1),AQ90*R90,"")</f>
        <v>15</v>
      </c>
      <c r="AS90" s="2"/>
      <c r="AT90" s="48" t="n">
        <f aca="false">AI90*3</f>
        <v>15</v>
      </c>
      <c r="AV90" s="54"/>
      <c r="AW90" s="54"/>
    </row>
    <row r="91" customFormat="false" ht="13.2" hidden="false" customHeight="false" outlineLevel="0" collapsed="false">
      <c r="B91" s="67"/>
      <c r="C91" s="34"/>
      <c r="D91" s="34"/>
      <c r="E91" s="34"/>
      <c r="F91" s="34"/>
      <c r="G91" s="63"/>
      <c r="H91" s="63"/>
      <c r="I91" s="63"/>
      <c r="J91" s="63"/>
      <c r="K91" s="43"/>
      <c r="L91" s="43"/>
      <c r="M91" s="44"/>
      <c r="N91" s="122"/>
      <c r="O91" s="61"/>
      <c r="P91" s="26"/>
      <c r="Q91" s="43"/>
      <c r="R91" s="21"/>
      <c r="S91" s="21"/>
      <c r="U91" s="2"/>
      <c r="V91" s="2"/>
      <c r="W91" s="26"/>
      <c r="X91" s="26"/>
      <c r="Y91" s="65"/>
      <c r="Z91" s="50"/>
      <c r="AA91" s="50"/>
      <c r="AB91" s="50"/>
      <c r="AC91" s="50"/>
      <c r="AD91" s="50"/>
      <c r="AE91" s="73"/>
      <c r="AG91" s="121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</row>
    <row r="92" customFormat="false" ht="13.2" hidden="false" customHeight="false" outlineLevel="2" collapsed="false">
      <c r="B92" s="67"/>
      <c r="C92" s="123" t="s">
        <v>80</v>
      </c>
      <c r="D92" s="123"/>
      <c r="E92" s="123"/>
      <c r="F92" s="34"/>
      <c r="G92" s="63"/>
      <c r="H92" s="63"/>
      <c r="I92" s="63"/>
      <c r="J92" s="63"/>
      <c r="K92" s="43"/>
      <c r="L92" s="43"/>
      <c r="M92" s="44"/>
      <c r="N92" s="26" t="s">
        <v>81</v>
      </c>
      <c r="O92" s="61"/>
      <c r="P92" s="26" t="s">
        <v>82</v>
      </c>
      <c r="Q92" s="43"/>
      <c r="R92" s="21"/>
      <c r="S92" s="21"/>
      <c r="U92" s="2"/>
      <c r="V92" s="2"/>
      <c r="W92" s="26"/>
      <c r="X92" s="26"/>
      <c r="Y92" s="65"/>
      <c r="Z92" s="50"/>
      <c r="AA92" s="50"/>
      <c r="AB92" s="50"/>
      <c r="AC92" s="50"/>
      <c r="AD92" s="50"/>
      <c r="AE92" s="73"/>
      <c r="AG92" s="121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</row>
    <row r="93" customFormat="false" ht="12.8" hidden="false" customHeight="false" outlineLevel="2" collapsed="false">
      <c r="B93" s="99" t="s">
        <v>83</v>
      </c>
      <c r="C93" s="38" t="s">
        <v>84</v>
      </c>
      <c r="D93" s="39" t="s">
        <v>20</v>
      </c>
      <c r="E93" s="92" t="s">
        <v>85</v>
      </c>
      <c r="F93" s="34"/>
      <c r="G93" s="41"/>
      <c r="H93" s="41"/>
      <c r="I93" s="42"/>
      <c r="J93" s="41" t="s">
        <v>22</v>
      </c>
      <c r="K93" s="43"/>
      <c r="L93" s="43"/>
      <c r="M93" s="44" t="str">
        <f aca="false">IF(AND(U93=1,N93="",AR93&gt;0,AR93&lt;&gt;""),"TODO !","")</f>
        <v/>
      </c>
      <c r="N93" s="124" t="n">
        <v>18.2</v>
      </c>
      <c r="O93" s="46" t="s">
        <v>24</v>
      </c>
      <c r="P93" s="125" t="n">
        <f aca="false">IF(AND(N93&lt;&gt;"",$N$6&lt;&gt;""),$N$6/N93,"")</f>
        <v>9537.1978021978</v>
      </c>
      <c r="Q93" s="43"/>
      <c r="R93" s="77" t="n">
        <v>1</v>
      </c>
      <c r="S93" s="8" t="n">
        <v>22</v>
      </c>
      <c r="U93" s="48" t="n">
        <v>1</v>
      </c>
      <c r="V93" s="48" t="n">
        <v>1</v>
      </c>
      <c r="W93" s="26" t="str">
        <f aca="false">IF(AND(U93=1,V93=0),"Bonus","")</f>
        <v/>
      </c>
      <c r="X93" s="26"/>
      <c r="Y93" s="49" t="n">
        <f aca="false">IF(U93=1,AR93,"")</f>
        <v>3</v>
      </c>
      <c r="Z93" s="50"/>
      <c r="AA93" s="50"/>
      <c r="AB93" s="50"/>
      <c r="AC93" s="50"/>
      <c r="AD93" s="50"/>
      <c r="AE93" s="73"/>
      <c r="AG93" s="53" t="s">
        <v>86</v>
      </c>
      <c r="AH93" s="2"/>
      <c r="AI93" s="48" t="n">
        <f aca="false">U93*V93*R93</f>
        <v>1</v>
      </c>
      <c r="AJ93" s="2"/>
      <c r="AK93" s="48" t="str">
        <f aca="false">IF(G93="x",AK$4,"")</f>
        <v/>
      </c>
      <c r="AL93" s="48" t="str">
        <f aca="false">IF(H93="x",AL$4,"")</f>
        <v/>
      </c>
      <c r="AM93" s="48" t="str">
        <f aca="false">IF(I93="x",AM$4,"")</f>
        <v/>
      </c>
      <c r="AN93" s="48" t="n">
        <f aca="false">IF(J93="x",AN$4,"")</f>
        <v>3</v>
      </c>
      <c r="AO93" s="2"/>
      <c r="AP93" s="48" t="n">
        <f aca="false">COUNTIF(G93:J93,"=x")</f>
        <v>1</v>
      </c>
      <c r="AQ93" s="48" t="n">
        <f aca="false">IF(AP93&gt;0,AVERAGE(AK93:AN93),"")</f>
        <v>3</v>
      </c>
      <c r="AR93" s="48" t="n">
        <f aca="false">IF(AND(AP93&gt;0,U93=1),AQ93*R93,"")</f>
        <v>3</v>
      </c>
      <c r="AS93" s="2"/>
      <c r="AT93" s="48" t="n">
        <f aca="false">AI93*3</f>
        <v>3</v>
      </c>
      <c r="AV93" s="54" t="n">
        <f aca="false">SUM(AR93:AR100)</f>
        <v>36</v>
      </c>
      <c r="AW93" s="54" t="n">
        <f aca="false">SUM(AT93:AT100)</f>
        <v>36</v>
      </c>
    </row>
    <row r="94" customFormat="false" ht="12.8" hidden="false" customHeight="false" outlineLevel="2" collapsed="false">
      <c r="B94" s="99"/>
      <c r="C94" s="82"/>
      <c r="D94" s="34"/>
      <c r="E94" s="93" t="s">
        <v>87</v>
      </c>
      <c r="F94" s="3"/>
      <c r="G94" s="41"/>
      <c r="H94" s="41"/>
      <c r="I94" s="42"/>
      <c r="J94" s="41" t="s">
        <v>22</v>
      </c>
      <c r="K94" s="43"/>
      <c r="L94" s="43"/>
      <c r="M94" s="44" t="str">
        <f aca="false">IF(AND(U94=1,N94="",AR94&gt;0,AR94&lt;&gt;""),"TODO !","")</f>
        <v/>
      </c>
      <c r="N94" s="126" t="n">
        <v>68.1</v>
      </c>
      <c r="O94" s="46" t="s">
        <v>24</v>
      </c>
      <c r="P94" s="127" t="n">
        <f aca="false">IF(AND(N94&lt;&gt;"",$N$6&lt;&gt;""),$N$6/N94,"")</f>
        <v>2548.85462555066</v>
      </c>
      <c r="Q94" s="43"/>
      <c r="R94" s="77" t="n">
        <v>2</v>
      </c>
      <c r="S94" s="8"/>
      <c r="U94" s="48" t="n">
        <v>1</v>
      </c>
      <c r="V94" s="48" t="n">
        <v>1</v>
      </c>
      <c r="W94" s="26" t="str">
        <f aca="false">IF(AND(U94=1,V94=0),"Bonus","")</f>
        <v/>
      </c>
      <c r="X94" s="26"/>
      <c r="Y94" s="49" t="n">
        <f aca="false">IF(U94=1,AR94,"")</f>
        <v>6</v>
      </c>
      <c r="Z94" s="50"/>
      <c r="AA94" s="50"/>
      <c r="AB94" s="50"/>
      <c r="AC94" s="50"/>
      <c r="AD94" s="50"/>
      <c r="AE94" s="73"/>
      <c r="AG94" s="53"/>
      <c r="AH94" s="2"/>
      <c r="AI94" s="48" t="n">
        <f aca="false">U94*V94*R94</f>
        <v>2</v>
      </c>
      <c r="AJ94" s="2"/>
      <c r="AK94" s="48" t="str">
        <f aca="false">IF(G94="x",AK$4,"")</f>
        <v/>
      </c>
      <c r="AL94" s="48" t="str">
        <f aca="false">IF(H94="x",AL$4,"")</f>
        <v/>
      </c>
      <c r="AM94" s="48" t="str">
        <f aca="false">IF(I94="x",AM$4,"")</f>
        <v/>
      </c>
      <c r="AN94" s="48" t="n">
        <f aca="false">IF(J94="x",AN$4,"")</f>
        <v>3</v>
      </c>
      <c r="AO94" s="2"/>
      <c r="AP94" s="48" t="n">
        <f aca="false">COUNTIF(G94:J94,"=x")</f>
        <v>1</v>
      </c>
      <c r="AQ94" s="48" t="n">
        <f aca="false">IF(AP94&gt;0,AVERAGE(AK94:AN94),"")</f>
        <v>3</v>
      </c>
      <c r="AR94" s="48" t="n">
        <f aca="false">IF(AND(AP94&gt;0,U94=1),AQ94*R94,"")</f>
        <v>6</v>
      </c>
      <c r="AS94" s="2"/>
      <c r="AT94" s="48" t="n">
        <f aca="false">AI94*3</f>
        <v>6</v>
      </c>
      <c r="AV94" s="54"/>
      <c r="AW94" s="54"/>
    </row>
    <row r="95" customFormat="false" ht="12.8" hidden="false" customHeight="false" outlineLevel="2" collapsed="false">
      <c r="B95" s="99"/>
      <c r="C95" s="82" t="s">
        <v>84</v>
      </c>
      <c r="D95" s="34" t="s">
        <v>31</v>
      </c>
      <c r="E95" s="93" t="s">
        <v>85</v>
      </c>
      <c r="F95" s="3" t="s">
        <v>35</v>
      </c>
      <c r="G95" s="41"/>
      <c r="H95" s="41"/>
      <c r="I95" s="42"/>
      <c r="J95" s="41" t="s">
        <v>22</v>
      </c>
      <c r="K95" s="43"/>
      <c r="L95" s="43"/>
      <c r="M95" s="44" t="str">
        <f aca="false">IF(AND(U95=1,N95="",AR95&gt;0,AR95&lt;&gt;""),"TODO !","")</f>
        <v/>
      </c>
      <c r="N95" s="124" t="n">
        <v>8</v>
      </c>
      <c r="O95" s="46" t="s">
        <v>24</v>
      </c>
      <c r="P95" s="125" t="n">
        <f aca="false">IF(AND(N95&lt;&gt;"",$N$11&lt;&gt;""),$N$11/N95,"")</f>
        <v>1790</v>
      </c>
      <c r="Q95" s="43"/>
      <c r="R95" s="77" t="n">
        <v>1</v>
      </c>
      <c r="S95" s="8"/>
      <c r="U95" s="48" t="n">
        <v>1</v>
      </c>
      <c r="V95" s="48" t="n">
        <v>1</v>
      </c>
      <c r="W95" s="26" t="str">
        <f aca="false">IF(AND(U95=1,V95=0),"Bonus","")</f>
        <v/>
      </c>
      <c r="X95" s="26"/>
      <c r="Y95" s="49" t="n">
        <f aca="false">IF(U95=1,AR95,"")</f>
        <v>3</v>
      </c>
      <c r="Z95" s="50"/>
      <c r="AA95" s="50"/>
      <c r="AB95" s="50"/>
      <c r="AC95" s="50"/>
      <c r="AD95" s="50"/>
      <c r="AE95" s="73"/>
      <c r="AG95" s="53"/>
      <c r="AH95" s="2"/>
      <c r="AI95" s="48" t="n">
        <f aca="false">U95*V95*R95</f>
        <v>1</v>
      </c>
      <c r="AJ95" s="2"/>
      <c r="AK95" s="48" t="str">
        <f aca="false">IF(G95="x",AK$4,"")</f>
        <v/>
      </c>
      <c r="AL95" s="48" t="str">
        <f aca="false">IF(H95="x",AL$4,"")</f>
        <v/>
      </c>
      <c r="AM95" s="48" t="str">
        <f aca="false">IF(I95="x",AM$4,"")</f>
        <v/>
      </c>
      <c r="AN95" s="48" t="n">
        <f aca="false">IF(J95="x",AN$4,"")</f>
        <v>3</v>
      </c>
      <c r="AO95" s="2"/>
      <c r="AP95" s="48" t="n">
        <f aca="false">COUNTIF(G95:J95,"=x")</f>
        <v>1</v>
      </c>
      <c r="AQ95" s="48" t="n">
        <f aca="false">IF(AP95&gt;0,AVERAGE(AK95:AN95),"")</f>
        <v>3</v>
      </c>
      <c r="AR95" s="48" t="n">
        <f aca="false">IF(AND(AP95&gt;0,U95=1),AQ95*R95,"")</f>
        <v>3</v>
      </c>
      <c r="AS95" s="2"/>
      <c r="AT95" s="48" t="n">
        <f aca="false">AI95*3</f>
        <v>3</v>
      </c>
      <c r="AV95" s="54"/>
      <c r="AW95" s="54"/>
    </row>
    <row r="96" customFormat="false" ht="12.8" hidden="false" customHeight="false" outlineLevel="2" collapsed="false">
      <c r="B96" s="99"/>
      <c r="C96" s="82"/>
      <c r="D96" s="34"/>
      <c r="E96" s="93" t="s">
        <v>87</v>
      </c>
      <c r="F96" s="3" t="s">
        <v>35</v>
      </c>
      <c r="G96" s="41"/>
      <c r="H96" s="41"/>
      <c r="I96" s="42"/>
      <c r="J96" s="41" t="s">
        <v>22</v>
      </c>
      <c r="K96" s="43"/>
      <c r="L96" s="43"/>
      <c r="M96" s="44" t="str">
        <f aca="false">IF(AND(U96=1,N96="",AR96&gt;0,AR96&lt;&gt;""),"TODO !","")</f>
        <v/>
      </c>
      <c r="N96" s="126" t="n">
        <v>50.3</v>
      </c>
      <c r="O96" s="46" t="s">
        <v>24</v>
      </c>
      <c r="P96" s="128" t="n">
        <f aca="false">IF(AND(N96&lt;&gt;"",$N$11&lt;&gt;""),$N$11/N96,"")</f>
        <v>284.691848906561</v>
      </c>
      <c r="Q96" s="43"/>
      <c r="R96" s="77" t="n">
        <v>2</v>
      </c>
      <c r="S96" s="8"/>
      <c r="U96" s="48" t="n">
        <v>1</v>
      </c>
      <c r="V96" s="48" t="n">
        <v>1</v>
      </c>
      <c r="W96" s="26" t="str">
        <f aca="false">IF(AND(U96=1,V96=0),"Bonus","")</f>
        <v/>
      </c>
      <c r="X96" s="26"/>
      <c r="Y96" s="49" t="n">
        <f aca="false">IF(U96=1,AR96,"")</f>
        <v>6</v>
      </c>
      <c r="Z96" s="50"/>
      <c r="AA96" s="50"/>
      <c r="AB96" s="50"/>
      <c r="AC96" s="50"/>
      <c r="AD96" s="50"/>
      <c r="AE96" s="73"/>
      <c r="AG96" s="53"/>
      <c r="AH96" s="2"/>
      <c r="AI96" s="48" t="n">
        <f aca="false">U96*V96*R96</f>
        <v>2</v>
      </c>
      <c r="AJ96" s="2"/>
      <c r="AK96" s="48" t="str">
        <f aca="false">IF(G96="x",AK$4,"")</f>
        <v/>
      </c>
      <c r="AL96" s="48" t="str">
        <f aca="false">IF(H96="x",AL$4,"")</f>
        <v/>
      </c>
      <c r="AM96" s="48" t="str">
        <f aca="false">IF(I96="x",AM$4,"")</f>
        <v/>
      </c>
      <c r="AN96" s="48" t="n">
        <f aca="false">IF(J96="x",AN$4,"")</f>
        <v>3</v>
      </c>
      <c r="AO96" s="2"/>
      <c r="AP96" s="48" t="n">
        <f aca="false">COUNTIF(G96:J96,"=x")</f>
        <v>1</v>
      </c>
      <c r="AQ96" s="48" t="n">
        <f aca="false">IF(AP96&gt;0,AVERAGE(AK96:AN96),"")</f>
        <v>3</v>
      </c>
      <c r="AR96" s="48" t="n">
        <f aca="false">IF(AND(AP96&gt;0,U96=1),AQ96*R96,"")</f>
        <v>6</v>
      </c>
      <c r="AS96" s="2"/>
      <c r="AT96" s="48" t="n">
        <f aca="false">AI96*3</f>
        <v>6</v>
      </c>
      <c r="AV96" s="54"/>
      <c r="AW96" s="54"/>
    </row>
    <row r="97" customFormat="false" ht="12.8" hidden="false" customHeight="false" outlineLevel="2" collapsed="false">
      <c r="B97" s="99"/>
      <c r="C97" s="82" t="s">
        <v>84</v>
      </c>
      <c r="D97" s="34" t="s">
        <v>88</v>
      </c>
      <c r="E97" s="93" t="s">
        <v>85</v>
      </c>
      <c r="F97" s="3"/>
      <c r="G97" s="41"/>
      <c r="H97" s="41"/>
      <c r="I97" s="42"/>
      <c r="J97" s="41" t="s">
        <v>22</v>
      </c>
      <c r="K97" s="43"/>
      <c r="L97" s="43"/>
      <c r="M97" s="44" t="str">
        <f aca="false">IF(AND(U97=1,N97="",AR97&gt;0,AR97&lt;&gt;""),"TODO !","")</f>
        <v/>
      </c>
      <c r="N97" s="124" t="n">
        <v>0.3</v>
      </c>
      <c r="O97" s="46" t="s">
        <v>24</v>
      </c>
      <c r="P97" s="125" t="n">
        <f aca="false">IF(AND(N97&lt;&gt;"",$N$11&lt;&gt;""),$N$24/N97,"")</f>
        <v>933.333333333333</v>
      </c>
      <c r="Q97" s="43"/>
      <c r="R97" s="77" t="n">
        <v>1</v>
      </c>
      <c r="S97" s="8"/>
      <c r="U97" s="48" t="n">
        <v>1</v>
      </c>
      <c r="V97" s="48" t="n">
        <v>1</v>
      </c>
      <c r="W97" s="26" t="str">
        <f aca="false">IF(AND(U97=1,V97=0),"Bonus","")</f>
        <v/>
      </c>
      <c r="X97" s="26"/>
      <c r="Y97" s="49" t="n">
        <f aca="false">IF(U97=1,AR97,"")</f>
        <v>3</v>
      </c>
      <c r="Z97" s="50"/>
      <c r="AA97" s="50"/>
      <c r="AB97" s="50"/>
      <c r="AC97" s="50"/>
      <c r="AD97" s="50"/>
      <c r="AE97" s="73"/>
      <c r="AG97" s="53"/>
      <c r="AH97" s="2"/>
      <c r="AI97" s="48" t="n">
        <f aca="false">U97*V97*R97</f>
        <v>1</v>
      </c>
      <c r="AJ97" s="2"/>
      <c r="AK97" s="48" t="str">
        <f aca="false">IF(G97="x",AK$4,"")</f>
        <v/>
      </c>
      <c r="AL97" s="48" t="str">
        <f aca="false">IF(H97="x",AL$4,"")</f>
        <v/>
      </c>
      <c r="AM97" s="48" t="str">
        <f aca="false">IF(I97="x",AM$4,"")</f>
        <v/>
      </c>
      <c r="AN97" s="48" t="n">
        <f aca="false">IF(J97="x",AN$4,"")</f>
        <v>3</v>
      </c>
      <c r="AO97" s="2"/>
      <c r="AP97" s="48" t="n">
        <f aca="false">COUNTIF(G97:J97,"=x")</f>
        <v>1</v>
      </c>
      <c r="AQ97" s="48" t="n">
        <f aca="false">IF(AP97&gt;0,AVERAGE(AK97:AN97),"")</f>
        <v>3</v>
      </c>
      <c r="AR97" s="48" t="n">
        <f aca="false">IF(AND(AP97&gt;0,U97=1),AQ97*R97,"")</f>
        <v>3</v>
      </c>
      <c r="AS97" s="2"/>
      <c r="AT97" s="48" t="n">
        <f aca="false">AI97*3</f>
        <v>3</v>
      </c>
      <c r="AV97" s="54"/>
      <c r="AW97" s="54"/>
    </row>
    <row r="98" customFormat="false" ht="12.8" hidden="false" customHeight="false" outlineLevel="2" collapsed="false">
      <c r="B98" s="99"/>
      <c r="C98" s="82"/>
      <c r="D98" s="34"/>
      <c r="E98" s="93" t="s">
        <v>87</v>
      </c>
      <c r="F98" s="3"/>
      <c r="G98" s="41"/>
      <c r="H98" s="41"/>
      <c r="I98" s="42"/>
      <c r="J98" s="41" t="s">
        <v>22</v>
      </c>
      <c r="K98" s="43"/>
      <c r="L98" s="43"/>
      <c r="M98" s="44" t="str">
        <f aca="false">IF(AND(U98=1,N98="",AR98&gt;0,AR98&lt;&gt;""),"TODO !","")</f>
        <v/>
      </c>
      <c r="N98" s="126" t="n">
        <v>6.8</v>
      </c>
      <c r="O98" s="46" t="s">
        <v>24</v>
      </c>
      <c r="P98" s="127" t="n">
        <f aca="false">IF(AND(N98&lt;&gt;"",$N$24&lt;&gt;""),$N$24/N98,"")</f>
        <v>41.1764705882353</v>
      </c>
      <c r="Q98" s="43"/>
      <c r="R98" s="77" t="n">
        <v>2</v>
      </c>
      <c r="S98" s="8"/>
      <c r="U98" s="48" t="n">
        <v>1</v>
      </c>
      <c r="V98" s="48" t="n">
        <v>1</v>
      </c>
      <c r="W98" s="26" t="str">
        <f aca="false">IF(AND(U98=1,V98=0),"Bonus","")</f>
        <v/>
      </c>
      <c r="X98" s="26"/>
      <c r="Y98" s="49" t="n">
        <f aca="false">IF(U98=1,AR98,"")</f>
        <v>6</v>
      </c>
      <c r="Z98" s="50"/>
      <c r="AA98" s="50"/>
      <c r="AB98" s="50"/>
      <c r="AC98" s="50"/>
      <c r="AD98" s="50"/>
      <c r="AE98" s="73"/>
      <c r="AG98" s="53"/>
      <c r="AH98" s="2"/>
      <c r="AI98" s="48" t="n">
        <f aca="false">U98*V98*R98</f>
        <v>2</v>
      </c>
      <c r="AJ98" s="2"/>
      <c r="AK98" s="48" t="str">
        <f aca="false">IF(G98="x",AK$4,"")</f>
        <v/>
      </c>
      <c r="AL98" s="48" t="str">
        <f aca="false">IF(H98="x",AL$4,"")</f>
        <v/>
      </c>
      <c r="AM98" s="48" t="str">
        <f aca="false">IF(I98="x",AM$4,"")</f>
        <v/>
      </c>
      <c r="AN98" s="48" t="n">
        <f aca="false">IF(J98="x",AN$4,"")</f>
        <v>3</v>
      </c>
      <c r="AO98" s="2"/>
      <c r="AP98" s="48" t="n">
        <f aca="false">COUNTIF(G98:J98,"=x")</f>
        <v>1</v>
      </c>
      <c r="AQ98" s="48" t="n">
        <f aca="false">IF(AP98&gt;0,AVERAGE(AK98:AN98),"")</f>
        <v>3</v>
      </c>
      <c r="AR98" s="48" t="n">
        <f aca="false">IF(AND(AP98&gt;0,U98=1),AQ98*R98,"")</f>
        <v>6</v>
      </c>
      <c r="AS98" s="2"/>
      <c r="AT98" s="48" t="n">
        <f aca="false">AI98*3</f>
        <v>6</v>
      </c>
      <c r="AV98" s="54"/>
      <c r="AW98" s="54"/>
    </row>
    <row r="99" customFormat="false" ht="12.8" hidden="false" customHeight="false" outlineLevel="2" collapsed="false">
      <c r="B99" s="99"/>
      <c r="C99" s="82" t="s">
        <v>84</v>
      </c>
      <c r="D99" s="34" t="s">
        <v>62</v>
      </c>
      <c r="E99" s="93" t="s">
        <v>85</v>
      </c>
      <c r="F99" s="3" t="s">
        <v>55</v>
      </c>
      <c r="G99" s="41"/>
      <c r="H99" s="41"/>
      <c r="I99" s="42"/>
      <c r="J99" s="41" t="s">
        <v>22</v>
      </c>
      <c r="K99" s="43" t="s">
        <v>89</v>
      </c>
      <c r="L99" s="43"/>
      <c r="M99" s="44" t="str">
        <f aca="false">IF(AND(U99=1,N99="",AR99&gt;0,AR99&lt;&gt;""),"TODO !","")</f>
        <v/>
      </c>
      <c r="N99" s="129" t="n">
        <v>0.33</v>
      </c>
      <c r="O99" s="130" t="s">
        <v>64</v>
      </c>
      <c r="P99" s="128" t="str">
        <f aca="false">IF(AND(N99&lt;&gt;"",$N$61&lt;&gt;""),$N$61/N99,"")</f>
        <v/>
      </c>
      <c r="Q99" s="43"/>
      <c r="R99" s="47" t="n">
        <v>1</v>
      </c>
      <c r="S99" s="8"/>
      <c r="U99" s="48" t="n">
        <v>1</v>
      </c>
      <c r="V99" s="48" t="n">
        <v>1</v>
      </c>
      <c r="W99" s="26" t="str">
        <f aca="false">IF(AND(U99=1,V99=0),"Bonus","")</f>
        <v/>
      </c>
      <c r="X99" s="26"/>
      <c r="Y99" s="49" t="n">
        <f aca="false">IF(U99=1,AR99,"")</f>
        <v>3</v>
      </c>
      <c r="Z99" s="50"/>
      <c r="AA99" s="50"/>
      <c r="AB99" s="50"/>
      <c r="AC99" s="50"/>
      <c r="AD99" s="50"/>
      <c r="AE99" s="73"/>
      <c r="AG99" s="53"/>
      <c r="AH99" s="2"/>
      <c r="AI99" s="48" t="n">
        <f aca="false">U99*V99*R99</f>
        <v>1</v>
      </c>
      <c r="AJ99" s="2"/>
      <c r="AK99" s="48" t="str">
        <f aca="false">IF(G99="x",AK$4,"")</f>
        <v/>
      </c>
      <c r="AL99" s="48" t="str">
        <f aca="false">IF(H99="x",AL$4,"")</f>
        <v/>
      </c>
      <c r="AM99" s="48" t="str">
        <f aca="false">IF(I99="x",AM$4,"")</f>
        <v/>
      </c>
      <c r="AN99" s="48" t="n">
        <f aca="false">IF(J99="x",AN$4,"")</f>
        <v>3</v>
      </c>
      <c r="AO99" s="2"/>
      <c r="AP99" s="48" t="n">
        <f aca="false">COUNTIF(G99:J99,"=x")</f>
        <v>1</v>
      </c>
      <c r="AQ99" s="48" t="n">
        <f aca="false">IF(AP99&gt;0,AVERAGE(AK99:AN99),"")</f>
        <v>3</v>
      </c>
      <c r="AR99" s="48" t="n">
        <f aca="false">IF(AND(AP99&gt;0,U99=1),AQ99*R99,"")</f>
        <v>3</v>
      </c>
      <c r="AS99" s="2"/>
      <c r="AT99" s="48" t="n">
        <f aca="false">AI99*3</f>
        <v>3</v>
      </c>
      <c r="AV99" s="54"/>
      <c r="AW99" s="54"/>
    </row>
    <row r="100" customFormat="false" ht="12.8" hidden="false" customHeight="false" outlineLevel="2" collapsed="false">
      <c r="B100" s="99"/>
      <c r="C100" s="131"/>
      <c r="D100" s="132"/>
      <c r="E100" s="133" t="s">
        <v>87</v>
      </c>
      <c r="F100" s="3" t="s">
        <v>55</v>
      </c>
      <c r="G100" s="41"/>
      <c r="H100" s="41"/>
      <c r="I100" s="42"/>
      <c r="J100" s="41" t="s">
        <v>22</v>
      </c>
      <c r="K100" s="43" t="s">
        <v>90</v>
      </c>
      <c r="L100" s="43"/>
      <c r="M100" s="44" t="str">
        <f aca="false">IF(AND(U100=1,N100="",AR100&gt;0,AR100&lt;&gt;""),"TODO !","")</f>
        <v/>
      </c>
      <c r="N100" s="134" t="n">
        <v>17.58</v>
      </c>
      <c r="O100" s="130" t="s">
        <v>64</v>
      </c>
      <c r="P100" s="127" t="str">
        <f aca="false">IF(AND(N100&lt;&gt;"",$N$61&lt;&gt;""),$N$61/N100,"")</f>
        <v/>
      </c>
      <c r="Q100" s="43"/>
      <c r="R100" s="47" t="n">
        <v>2</v>
      </c>
      <c r="S100" s="8"/>
      <c r="U100" s="48" t="n">
        <v>1</v>
      </c>
      <c r="V100" s="48" t="n">
        <v>1</v>
      </c>
      <c r="W100" s="26" t="str">
        <f aca="false">IF(AND(U100=1,V100=0),"Bonus","")</f>
        <v/>
      </c>
      <c r="X100" s="26"/>
      <c r="Y100" s="49" t="n">
        <f aca="false">IF(U100=1,AR100,"")</f>
        <v>6</v>
      </c>
      <c r="Z100" s="50"/>
      <c r="AA100" s="50"/>
      <c r="AB100" s="50"/>
      <c r="AC100" s="50"/>
      <c r="AD100" s="50"/>
      <c r="AE100" s="73"/>
      <c r="AG100" s="53"/>
      <c r="AH100" s="2"/>
      <c r="AI100" s="48" t="n">
        <f aca="false">U100*V100*R100</f>
        <v>2</v>
      </c>
      <c r="AJ100" s="2"/>
      <c r="AK100" s="48" t="str">
        <f aca="false">IF(G100="x",AK$4,"")</f>
        <v/>
      </c>
      <c r="AL100" s="48" t="str">
        <f aca="false">IF(H100="x",AL$4,"")</f>
        <v/>
      </c>
      <c r="AM100" s="48" t="str">
        <f aca="false">IF(I100="x",AM$4,"")</f>
        <v/>
      </c>
      <c r="AN100" s="48" t="n">
        <f aca="false">IF(J100="x",AN$4,"")</f>
        <v>3</v>
      </c>
      <c r="AO100" s="2"/>
      <c r="AP100" s="48" t="n">
        <f aca="false">COUNTIF(G100:J100,"=x")</f>
        <v>1</v>
      </c>
      <c r="AQ100" s="48" t="n">
        <f aca="false">IF(AP100&gt;0,AVERAGE(AK100:AN100),"")</f>
        <v>3</v>
      </c>
      <c r="AR100" s="48" t="n">
        <f aca="false">IF(AND(AP100&gt;0,U100=1),AQ100*R100,"")</f>
        <v>6</v>
      </c>
      <c r="AS100" s="2"/>
      <c r="AT100" s="48" t="n">
        <f aca="false">AI100*3</f>
        <v>6</v>
      </c>
      <c r="AV100" s="54"/>
      <c r="AW100" s="54"/>
    </row>
    <row r="101" customFormat="false" ht="13.2" hidden="false" customHeight="false" outlineLevel="2" collapsed="false">
      <c r="C101" s="34"/>
      <c r="D101" s="135"/>
      <c r="E101" s="135"/>
      <c r="F101" s="34"/>
      <c r="G101" s="63"/>
      <c r="H101" s="63"/>
      <c r="I101" s="63"/>
      <c r="J101" s="63"/>
      <c r="K101" s="35"/>
      <c r="L101" s="35"/>
      <c r="M101" s="35"/>
      <c r="N101" s="136"/>
      <c r="O101" s="136"/>
      <c r="P101" s="35"/>
      <c r="Q101" s="35"/>
      <c r="R101" s="21"/>
      <c r="S101" s="21"/>
      <c r="U101" s="2"/>
      <c r="V101" s="2"/>
      <c r="W101" s="26"/>
      <c r="X101" s="26"/>
      <c r="Y101" s="65"/>
      <c r="AE101" s="73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</row>
    <row r="102" customFormat="false" ht="13.2" hidden="false" customHeight="false" outlineLevel="0" collapsed="false">
      <c r="C102" s="34"/>
      <c r="D102" s="26"/>
      <c r="E102" s="26"/>
      <c r="F102" s="34"/>
      <c r="G102" s="63"/>
      <c r="H102" s="63"/>
      <c r="I102" s="63"/>
      <c r="J102" s="63"/>
      <c r="K102" s="35"/>
      <c r="L102" s="35"/>
      <c r="M102" s="35"/>
      <c r="N102" s="136"/>
      <c r="O102" s="136"/>
      <c r="P102" s="35"/>
      <c r="Q102" s="35"/>
      <c r="R102" s="21"/>
      <c r="S102" s="21"/>
      <c r="U102" s="2"/>
      <c r="V102" s="2"/>
      <c r="W102" s="26"/>
      <c r="X102" s="26"/>
      <c r="Y102" s="65"/>
      <c r="AE102" s="73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</row>
    <row r="103" customFormat="false" ht="13.2" hidden="false" customHeight="true" outlineLevel="0" collapsed="false">
      <c r="B103" s="22" t="s">
        <v>91</v>
      </c>
      <c r="C103" s="38" t="s">
        <v>92</v>
      </c>
      <c r="D103" s="39"/>
      <c r="E103" s="137" t="s">
        <v>93</v>
      </c>
      <c r="F103" s="34"/>
      <c r="G103" s="41"/>
      <c r="H103" s="41"/>
      <c r="I103" s="41"/>
      <c r="J103" s="41" t="s">
        <v>22</v>
      </c>
      <c r="K103" s="35" t="s">
        <v>23</v>
      </c>
      <c r="L103" s="35"/>
      <c r="M103" s="44" t="str">
        <f aca="false">IF(AND(U103=1,N103="",AR103&gt;0,AR103&lt;&gt;""),"TODO !","")</f>
        <v/>
      </c>
      <c r="N103" s="45" t="n">
        <v>21</v>
      </c>
      <c r="O103" s="46" t="s">
        <v>24</v>
      </c>
      <c r="P103" s="138" t="s">
        <v>94</v>
      </c>
      <c r="Q103" s="35"/>
      <c r="R103" s="47" t="n">
        <v>4</v>
      </c>
      <c r="S103" s="8" t="n">
        <f aca="false">SUM(R103:R108)</f>
        <v>14</v>
      </c>
      <c r="U103" s="48" t="n">
        <v>1</v>
      </c>
      <c r="V103" s="48" t="n">
        <v>1</v>
      </c>
      <c r="W103" s="26" t="str">
        <f aca="false">IF(AND(U103=1,V103=0),"Bonus","")</f>
        <v/>
      </c>
      <c r="X103" s="26"/>
      <c r="Y103" s="49" t="n">
        <f aca="false">IF(U103=1,AR103,"")</f>
        <v>12</v>
      </c>
      <c r="AE103" s="74"/>
      <c r="AF103" s="0" t="str">
        <f aca="false">IF(AND(J103="x",AE103=""),"TODO !","")</f>
        <v>TODO !</v>
      </c>
      <c r="AG103" s="53" t="s">
        <v>95</v>
      </c>
      <c r="AH103" s="2"/>
      <c r="AI103" s="48" t="n">
        <f aca="false">U103*V103*R103</f>
        <v>4</v>
      </c>
      <c r="AJ103" s="2"/>
      <c r="AK103" s="48" t="str">
        <f aca="false">IF(G103="x",AK$4,"")</f>
        <v/>
      </c>
      <c r="AL103" s="48" t="str">
        <f aca="false">IF(H103="x",AL$4,"")</f>
        <v/>
      </c>
      <c r="AM103" s="48" t="str">
        <f aca="false">IF(I103="x",AM$4,"")</f>
        <v/>
      </c>
      <c r="AN103" s="48" t="n">
        <f aca="false">IF(J103="x",AN$4,"")</f>
        <v>3</v>
      </c>
      <c r="AO103" s="2"/>
      <c r="AP103" s="48" t="n">
        <f aca="false">COUNTIF(G103:J103,"=x")</f>
        <v>1</v>
      </c>
      <c r="AQ103" s="48" t="n">
        <f aca="false">IF(AP103&gt;0,AVERAGE(AK103:AN103),"")</f>
        <v>3</v>
      </c>
      <c r="AR103" s="48" t="n">
        <f aca="false">IF(AND(AP103&gt;0,U103=1),AQ103*R103,"")</f>
        <v>12</v>
      </c>
      <c r="AS103" s="2"/>
      <c r="AT103" s="48" t="n">
        <f aca="false">AI103*3</f>
        <v>12</v>
      </c>
      <c r="AV103" s="54" t="n">
        <f aca="false">SUM(AR103:AR108)</f>
        <v>30</v>
      </c>
      <c r="AW103" s="54" t="n">
        <f aca="false">SUM(AT103:AT108)</f>
        <v>30</v>
      </c>
    </row>
    <row r="104" customFormat="false" ht="12.8" hidden="false" customHeight="false" outlineLevel="0" collapsed="false">
      <c r="B104" s="22"/>
      <c r="C104" s="82" t="s">
        <v>96</v>
      </c>
      <c r="D104" s="139"/>
      <c r="E104" s="137"/>
      <c r="F104" s="34"/>
      <c r="G104" s="41"/>
      <c r="H104" s="41"/>
      <c r="I104" s="41"/>
      <c r="J104" s="41"/>
      <c r="K104" s="35" t="s">
        <v>97</v>
      </c>
      <c r="L104" s="35"/>
      <c r="M104" s="44"/>
      <c r="N104" s="45"/>
      <c r="O104" s="46" t="s">
        <v>24</v>
      </c>
      <c r="P104" s="138" t="s">
        <v>94</v>
      </c>
      <c r="Q104" s="35"/>
      <c r="R104" s="47" t="n">
        <v>2</v>
      </c>
      <c r="S104" s="8"/>
      <c r="U104" s="48"/>
      <c r="V104" s="48"/>
      <c r="W104" s="26"/>
      <c r="X104" s="26"/>
      <c r="Y104" s="49" t="str">
        <f aca="false">IF(U104=1,AR104,"")</f>
        <v/>
      </c>
      <c r="AE104" s="73"/>
      <c r="AG104" s="53"/>
      <c r="AH104" s="2"/>
      <c r="AI104" s="48" t="n">
        <f aca="false">U104*V104*R104</f>
        <v>0</v>
      </c>
      <c r="AJ104" s="2"/>
      <c r="AK104" s="48" t="str">
        <f aca="false">IF(G104="x",AK$4,"")</f>
        <v/>
      </c>
      <c r="AL104" s="48" t="str">
        <f aca="false">IF(H104="x",AL$4,"")</f>
        <v/>
      </c>
      <c r="AM104" s="48" t="str">
        <f aca="false">IF(I104="x",AM$4,"")</f>
        <v/>
      </c>
      <c r="AN104" s="48" t="str">
        <f aca="false">IF(J104="x",AN$4,"")</f>
        <v/>
      </c>
      <c r="AO104" s="2"/>
      <c r="AP104" s="48" t="n">
        <f aca="false">COUNTIF(G104:J104,"=x")</f>
        <v>0</v>
      </c>
      <c r="AQ104" s="48" t="str">
        <f aca="false">IF(AP104&gt;0,AVERAGE(AK104:AN104),"")</f>
        <v/>
      </c>
      <c r="AR104" s="48" t="str">
        <f aca="false">IF(AND(AP104&gt;0,U104=1),AQ104*R104,"")</f>
        <v/>
      </c>
      <c r="AS104" s="2"/>
      <c r="AT104" s="48" t="n">
        <f aca="false">AI104*3</f>
        <v>0</v>
      </c>
      <c r="AV104" s="54"/>
      <c r="AW104" s="54"/>
    </row>
    <row r="105" customFormat="false" ht="13.2" hidden="false" customHeight="true" outlineLevel="0" collapsed="false">
      <c r="B105" s="22"/>
      <c r="C105" s="82" t="s">
        <v>98</v>
      </c>
      <c r="E105" s="137" t="s">
        <v>99</v>
      </c>
      <c r="F105" s="34"/>
      <c r="G105" s="41"/>
      <c r="H105" s="58"/>
      <c r="I105" s="42"/>
      <c r="J105" s="41" t="s">
        <v>22</v>
      </c>
      <c r="K105" s="35"/>
      <c r="L105" s="35"/>
      <c r="M105" s="44" t="str">
        <f aca="false">IF(AND(U105=1,N105="",AR105&gt;0,AR105&lt;&gt;""),"TODO !","")</f>
        <v/>
      </c>
      <c r="N105" s="140" t="n">
        <v>141</v>
      </c>
      <c r="O105" s="61" t="s">
        <v>28</v>
      </c>
      <c r="P105" s="35"/>
      <c r="Q105" s="35"/>
      <c r="R105" s="47" t="n">
        <v>2</v>
      </c>
      <c r="S105" s="8"/>
      <c r="U105" s="48" t="n">
        <v>1</v>
      </c>
      <c r="V105" s="48" t="n">
        <v>1</v>
      </c>
      <c r="W105" s="26" t="str">
        <f aca="false">IF(AND(U105=1,V105=0),"Bonus","")</f>
        <v/>
      </c>
      <c r="X105" s="26"/>
      <c r="Y105" s="49" t="n">
        <f aca="false">IF(U105=1,AR105,"")</f>
        <v>6</v>
      </c>
      <c r="AE105" s="141"/>
      <c r="AG105" s="53"/>
      <c r="AH105" s="2"/>
      <c r="AI105" s="48" t="n">
        <f aca="false">U105*V105*R105</f>
        <v>2</v>
      </c>
      <c r="AJ105" s="2"/>
      <c r="AK105" s="48" t="str">
        <f aca="false">IF(G105="x",AK$4,"")</f>
        <v/>
      </c>
      <c r="AL105" s="48" t="str">
        <f aca="false">IF(H105="x",AL$4,"")</f>
        <v/>
      </c>
      <c r="AM105" s="48" t="str">
        <f aca="false">IF(I105="x",AM$4,"")</f>
        <v/>
      </c>
      <c r="AN105" s="48" t="n">
        <f aca="false">IF(J105="x",AN$4,"")</f>
        <v>3</v>
      </c>
      <c r="AO105" s="2"/>
      <c r="AP105" s="48" t="n">
        <f aca="false">COUNTIF(G105:J105,"=x")</f>
        <v>1</v>
      </c>
      <c r="AQ105" s="48" t="n">
        <f aca="false">IF(AP105&gt;0,AVERAGE(AK105:AN105),"")</f>
        <v>3</v>
      </c>
      <c r="AR105" s="48" t="n">
        <f aca="false">IF(AND(AP105&gt;0,U105=1),AQ105*R105,"")</f>
        <v>6</v>
      </c>
      <c r="AS105" s="2"/>
      <c r="AT105" s="48" t="n">
        <f aca="false">AI105*3</f>
        <v>6</v>
      </c>
      <c r="AV105" s="54"/>
      <c r="AW105" s="54"/>
    </row>
    <row r="106" customFormat="false" ht="12.8" hidden="false" customHeight="false" outlineLevel="0" collapsed="false">
      <c r="B106" s="22"/>
      <c r="C106" s="82" t="s">
        <v>100</v>
      </c>
      <c r="E106" s="137"/>
      <c r="F106" s="34"/>
      <c r="G106" s="41"/>
      <c r="H106" s="58"/>
      <c r="I106" s="42"/>
      <c r="J106" s="41"/>
      <c r="K106" s="35" t="s">
        <v>97</v>
      </c>
      <c r="L106" s="35"/>
      <c r="M106" s="44" t="str">
        <f aca="false">IF(AND(U106=1,N106="",AR106&gt;0,AR106&lt;&gt;""),"TODO !","")</f>
        <v/>
      </c>
      <c r="N106" s="140"/>
      <c r="O106" s="61" t="s">
        <v>28</v>
      </c>
      <c r="P106" s="35"/>
      <c r="Q106" s="35"/>
      <c r="R106" s="47" t="n">
        <v>2</v>
      </c>
      <c r="S106" s="8"/>
      <c r="U106" s="48"/>
      <c r="V106" s="48"/>
      <c r="W106" s="26" t="str">
        <f aca="false">IF(AND(U106=1,V106=0),"Bonus","")</f>
        <v/>
      </c>
      <c r="X106" s="26"/>
      <c r="Y106" s="49" t="str">
        <f aca="false">IF(U106=1,AR106,"")</f>
        <v/>
      </c>
      <c r="AE106" s="141"/>
      <c r="AG106" s="53"/>
      <c r="AH106" s="2"/>
      <c r="AI106" s="48" t="n">
        <f aca="false">U106*V106*R106</f>
        <v>0</v>
      </c>
      <c r="AJ106" s="2"/>
      <c r="AK106" s="48" t="str">
        <f aca="false">IF(G106="x",AK$4,"")</f>
        <v/>
      </c>
      <c r="AL106" s="48" t="str">
        <f aca="false">IF(H106="x",AL$4,"")</f>
        <v/>
      </c>
      <c r="AM106" s="48" t="str">
        <f aca="false">IF(I106="x",AM$4,"")</f>
        <v/>
      </c>
      <c r="AN106" s="48" t="str">
        <f aca="false">IF(J106="x",AN$4,"")</f>
        <v/>
      </c>
      <c r="AO106" s="2"/>
      <c r="AP106" s="48" t="n">
        <f aca="false">COUNTIF(G106:J106,"=x")</f>
        <v>0</v>
      </c>
      <c r="AQ106" s="48" t="str">
        <f aca="false">IF(AP106&gt;0,AVERAGE(AK106:AN106),"")</f>
        <v/>
      </c>
      <c r="AR106" s="48" t="str">
        <f aca="false">IF(AND(AP106&gt;0,U106=1),AQ106*R106,"")</f>
        <v/>
      </c>
      <c r="AS106" s="2"/>
      <c r="AT106" s="48" t="n">
        <f aca="false">AI106*3</f>
        <v>0</v>
      </c>
      <c r="AV106" s="54"/>
      <c r="AW106" s="54"/>
    </row>
    <row r="107" customFormat="false" ht="12.8" hidden="false" customHeight="false" outlineLevel="0" collapsed="false">
      <c r="B107" s="22"/>
      <c r="C107" s="82" t="s">
        <v>101</v>
      </c>
      <c r="D107" s="34"/>
      <c r="E107" s="137"/>
      <c r="F107" s="34"/>
      <c r="G107" s="41"/>
      <c r="H107" s="58"/>
      <c r="I107" s="42"/>
      <c r="J107" s="41" t="s">
        <v>22</v>
      </c>
      <c r="K107" s="35" t="s">
        <v>23</v>
      </c>
      <c r="L107" s="35"/>
      <c r="M107" s="44" t="str">
        <f aca="false">IF(AND(U107=1,N107="",AR107&gt;0,AR107&lt;&gt;""),"TODO !","")</f>
        <v/>
      </c>
      <c r="N107" s="140" t="n">
        <v>61</v>
      </c>
      <c r="O107" s="61" t="s">
        <v>28</v>
      </c>
      <c r="P107" s="35"/>
      <c r="Q107" s="35"/>
      <c r="R107" s="47" t="n">
        <v>2</v>
      </c>
      <c r="S107" s="8"/>
      <c r="U107" s="48" t="n">
        <v>1</v>
      </c>
      <c r="V107" s="48" t="n">
        <v>1</v>
      </c>
      <c r="W107" s="26" t="str">
        <f aca="false">IF(AND(U107=1,V107=0),"Bonus","")</f>
        <v/>
      </c>
      <c r="X107" s="26"/>
      <c r="Y107" s="49" t="n">
        <f aca="false">IF(U107=1,AR107,"")</f>
        <v>6</v>
      </c>
      <c r="AE107" s="141"/>
      <c r="AG107" s="53"/>
      <c r="AH107" s="2"/>
      <c r="AI107" s="48" t="n">
        <f aca="false">U107*V107*R107</f>
        <v>2</v>
      </c>
      <c r="AJ107" s="2"/>
      <c r="AK107" s="48" t="str">
        <f aca="false">IF(G107="x",AK$4,"")</f>
        <v/>
      </c>
      <c r="AL107" s="48" t="str">
        <f aca="false">IF(H107="x",AL$4,"")</f>
        <v/>
      </c>
      <c r="AM107" s="48" t="str">
        <f aca="false">IF(I107="x",AM$4,"")</f>
        <v/>
      </c>
      <c r="AN107" s="48" t="n">
        <f aca="false">IF(J107="x",AN$4,"")</f>
        <v>3</v>
      </c>
      <c r="AO107" s="2"/>
      <c r="AP107" s="48" t="n">
        <f aca="false">COUNTIF(G107:J107,"=x")</f>
        <v>1</v>
      </c>
      <c r="AQ107" s="48" t="n">
        <f aca="false">IF(AP107&gt;0,AVERAGE(AK107:AN107),"")</f>
        <v>3</v>
      </c>
      <c r="AR107" s="48" t="n">
        <f aca="false">IF(AND(AP107&gt;0,U107=1),AQ107*R107,"")</f>
        <v>6</v>
      </c>
      <c r="AS107" s="2"/>
      <c r="AT107" s="48" t="n">
        <f aca="false">AI107*3</f>
        <v>6</v>
      </c>
      <c r="AV107" s="54"/>
      <c r="AW107" s="54"/>
    </row>
    <row r="108" customFormat="false" ht="12.8" hidden="false" customHeight="false" outlineLevel="0" collapsed="false">
      <c r="B108" s="22"/>
      <c r="C108" s="55" t="s">
        <v>102</v>
      </c>
      <c r="D108" s="56"/>
      <c r="E108" s="137"/>
      <c r="F108" s="34"/>
      <c r="G108" s="41"/>
      <c r="H108" s="58"/>
      <c r="I108" s="42"/>
      <c r="J108" s="41" t="s">
        <v>22</v>
      </c>
      <c r="K108" s="35" t="s">
        <v>23</v>
      </c>
      <c r="L108" s="35"/>
      <c r="M108" s="44" t="str">
        <f aca="false">IF(AND(U108=1,N108="",AR108&gt;0,AR108&lt;&gt;""),"TODO !","")</f>
        <v/>
      </c>
      <c r="N108" s="140" t="n">
        <v>233</v>
      </c>
      <c r="O108" s="61" t="s">
        <v>28</v>
      </c>
      <c r="P108" s="35"/>
      <c r="Q108" s="35"/>
      <c r="R108" s="47" t="n">
        <v>2</v>
      </c>
      <c r="S108" s="8"/>
      <c r="U108" s="48" t="n">
        <v>1</v>
      </c>
      <c r="V108" s="48" t="n">
        <v>1</v>
      </c>
      <c r="W108" s="26" t="str">
        <f aca="false">IF(AND(U108=1,V108=0),"Bonus","")</f>
        <v/>
      </c>
      <c r="X108" s="26"/>
      <c r="Y108" s="49" t="n">
        <f aca="false">IF(U108=1,AR108,"")</f>
        <v>6</v>
      </c>
      <c r="AE108" s="141"/>
      <c r="AG108" s="53"/>
      <c r="AH108" s="2"/>
      <c r="AI108" s="48" t="n">
        <f aca="false">U108*V108*R108</f>
        <v>2</v>
      </c>
      <c r="AJ108" s="2"/>
      <c r="AK108" s="48" t="str">
        <f aca="false">IF(G108="x",AK$4,"")</f>
        <v/>
      </c>
      <c r="AL108" s="48" t="str">
        <f aca="false">IF(H108="x",AL$4,"")</f>
        <v/>
      </c>
      <c r="AM108" s="48" t="str">
        <f aca="false">IF(I108="x",AM$4,"")</f>
        <v/>
      </c>
      <c r="AN108" s="48" t="n">
        <f aca="false">IF(J108="x",AN$4,"")</f>
        <v>3</v>
      </c>
      <c r="AO108" s="2"/>
      <c r="AP108" s="48" t="n">
        <f aca="false">COUNTIF(G108:J108,"=x")</f>
        <v>1</v>
      </c>
      <c r="AQ108" s="48" t="n">
        <f aca="false">IF(AP108&gt;0,AVERAGE(AK108:AN108),"")</f>
        <v>3</v>
      </c>
      <c r="AR108" s="48" t="n">
        <f aca="false">IF(AND(AP108&gt;0,U108=1),AQ108*R108,"")</f>
        <v>6</v>
      </c>
      <c r="AS108" s="2"/>
      <c r="AT108" s="48" t="n">
        <f aca="false">AI108*3</f>
        <v>6</v>
      </c>
      <c r="AV108" s="54"/>
      <c r="AW108" s="54"/>
    </row>
    <row r="109" customFormat="false" ht="13.2" hidden="false" customHeight="false" outlineLevel="0" collapsed="false">
      <c r="C109" s="34"/>
      <c r="D109" s="26"/>
      <c r="E109" s="26"/>
      <c r="F109" s="34"/>
      <c r="G109" s="63"/>
      <c r="H109" s="63"/>
      <c r="I109" s="63"/>
      <c r="J109" s="63"/>
      <c r="K109" s="35"/>
      <c r="L109" s="35"/>
      <c r="M109" s="44"/>
      <c r="N109" s="43"/>
      <c r="O109" s="61"/>
      <c r="P109" s="35"/>
      <c r="Q109" s="35"/>
      <c r="R109" s="21"/>
      <c r="S109" s="21"/>
      <c r="U109" s="2"/>
      <c r="V109" s="2"/>
      <c r="W109" s="26"/>
      <c r="X109" s="2"/>
      <c r="Y109" s="65"/>
      <c r="AE109" s="141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</row>
    <row r="110" customFormat="false" ht="13.2" hidden="false" customHeight="false" outlineLevel="0" collapsed="false">
      <c r="C110" s="34"/>
      <c r="D110" s="34"/>
      <c r="E110" s="34"/>
      <c r="F110" s="34"/>
      <c r="G110" s="63"/>
      <c r="H110" s="63"/>
      <c r="I110" s="63"/>
      <c r="J110" s="63"/>
      <c r="K110" s="35"/>
      <c r="L110" s="35"/>
      <c r="M110" s="44"/>
      <c r="N110" s="43"/>
      <c r="O110" s="61"/>
      <c r="P110" s="35"/>
      <c r="Q110" s="35"/>
      <c r="R110" s="21"/>
      <c r="S110" s="21"/>
      <c r="U110" s="2"/>
      <c r="V110" s="2"/>
      <c r="W110" s="26"/>
      <c r="X110" s="2"/>
      <c r="Y110" s="65" t="str">
        <f aca="false">IF(U110=1,AR110,"")</f>
        <v/>
      </c>
      <c r="AE110" s="141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</row>
    <row r="111" customFormat="false" ht="12.8" hidden="false" customHeight="false" outlineLevel="0" collapsed="false">
      <c r="B111" s="99" t="s">
        <v>103</v>
      </c>
      <c r="C111" s="38" t="s">
        <v>104</v>
      </c>
      <c r="D111" s="39"/>
      <c r="E111" s="92"/>
      <c r="F111" s="34"/>
      <c r="G111" s="41"/>
      <c r="H111" s="142"/>
      <c r="I111" s="42"/>
      <c r="J111" s="41" t="s">
        <v>22</v>
      </c>
      <c r="K111" s="43"/>
      <c r="L111" s="43"/>
      <c r="M111" s="44" t="str">
        <f aca="false">IF(AND(U111=1,N111="",AR111&gt;0,AR111&lt;&gt;""),"TODO !","")</f>
        <v/>
      </c>
      <c r="N111" s="140" t="n">
        <v>66</v>
      </c>
      <c r="O111" s="61" t="s">
        <v>28</v>
      </c>
      <c r="P111" s="43" t="s">
        <v>105</v>
      </c>
      <c r="Q111" s="43"/>
      <c r="R111" s="47" t="n">
        <v>2</v>
      </c>
      <c r="S111" s="8" t="n">
        <f aca="false">SUM(R111:R114)</f>
        <v>12</v>
      </c>
      <c r="U111" s="48" t="n">
        <v>1</v>
      </c>
      <c r="V111" s="48" t="n">
        <v>1</v>
      </c>
      <c r="W111" s="26" t="str">
        <f aca="false">IF(AND(U111=1,V111=0),"Bonus","")</f>
        <v/>
      </c>
      <c r="X111" s="2"/>
      <c r="Y111" s="49" t="n">
        <f aca="false">IF(U111=1,AR111,"")</f>
        <v>6</v>
      </c>
      <c r="Z111" s="2"/>
      <c r="AA111" s="2"/>
      <c r="AB111" s="2"/>
      <c r="AC111" s="2"/>
      <c r="AD111" s="2"/>
      <c r="AE111" s="141"/>
      <c r="AG111" s="53" t="s">
        <v>106</v>
      </c>
      <c r="AH111" s="2"/>
      <c r="AI111" s="48" t="n">
        <f aca="false">U111*V111*R111</f>
        <v>2</v>
      </c>
      <c r="AJ111" s="2"/>
      <c r="AK111" s="48" t="str">
        <f aca="false">IF(G111="x",AK$4,"")</f>
        <v/>
      </c>
      <c r="AL111" s="48" t="str">
        <f aca="false">IF(H111="x",AL$4,"")</f>
        <v/>
      </c>
      <c r="AM111" s="48" t="str">
        <f aca="false">IF(I111="x",AM$4,"")</f>
        <v/>
      </c>
      <c r="AN111" s="48" t="n">
        <f aca="false">IF(J111="x",AN$4,"")</f>
        <v>3</v>
      </c>
      <c r="AO111" s="2"/>
      <c r="AP111" s="48" t="n">
        <f aca="false">COUNTIF(G111:J111,"=x")</f>
        <v>1</v>
      </c>
      <c r="AQ111" s="48" t="n">
        <f aca="false">IF(AP111&gt;0,AVERAGE(AK111:AN111),"")</f>
        <v>3</v>
      </c>
      <c r="AR111" s="48" t="n">
        <f aca="false">IF(AND(AP111&gt;0,U111=1),AQ111*R111,"")</f>
        <v>6</v>
      </c>
      <c r="AS111" s="2"/>
      <c r="AT111" s="48" t="n">
        <f aca="false">AI111*3</f>
        <v>6</v>
      </c>
      <c r="AV111" s="54" t="n">
        <f aca="false">SUM(AR111:AR114)</f>
        <v>36</v>
      </c>
      <c r="AW111" s="54" t="n">
        <f aca="false">SUM(AT111:AT114)</f>
        <v>36</v>
      </c>
    </row>
    <row r="112" customFormat="false" ht="12.8" hidden="false" customHeight="false" outlineLevel="0" collapsed="false">
      <c r="B112" s="99"/>
      <c r="C112" s="82" t="s">
        <v>107</v>
      </c>
      <c r="D112" s="34"/>
      <c r="E112" s="93"/>
      <c r="F112" s="34"/>
      <c r="G112" s="41"/>
      <c r="H112" s="142"/>
      <c r="I112" s="42"/>
      <c r="J112" s="41" t="s">
        <v>22</v>
      </c>
      <c r="K112" s="43"/>
      <c r="L112" s="43"/>
      <c r="M112" s="43"/>
      <c r="N112" s="43"/>
      <c r="O112" s="43"/>
      <c r="P112" s="43"/>
      <c r="Q112" s="43"/>
      <c r="R112" s="47" t="n">
        <v>5</v>
      </c>
      <c r="S112" s="8"/>
      <c r="U112" s="48" t="n">
        <v>1</v>
      </c>
      <c r="V112" s="48" t="n">
        <v>1</v>
      </c>
      <c r="W112" s="26" t="str">
        <f aca="false">IF(AND(U112=1,V112=0),"Bonus","")</f>
        <v/>
      </c>
      <c r="X112" s="2"/>
      <c r="Y112" s="49" t="n">
        <f aca="false">IF(U112=1,AR112,"")</f>
        <v>15</v>
      </c>
      <c r="Z112" s="2"/>
      <c r="AA112" s="2"/>
      <c r="AB112" s="2"/>
      <c r="AC112" s="2"/>
      <c r="AD112" s="2"/>
      <c r="AE112" s="141"/>
      <c r="AG112" s="53"/>
      <c r="AH112" s="2"/>
      <c r="AI112" s="48" t="n">
        <f aca="false">U112*V112*R112</f>
        <v>5</v>
      </c>
      <c r="AJ112" s="2"/>
      <c r="AK112" s="48" t="str">
        <f aca="false">IF(G112="x",AK$4,"")</f>
        <v/>
      </c>
      <c r="AL112" s="48" t="str">
        <f aca="false">IF(H112="x",AL$4,"")</f>
        <v/>
      </c>
      <c r="AM112" s="48" t="str">
        <f aca="false">IF(I112="x",AM$4,"")</f>
        <v/>
      </c>
      <c r="AN112" s="48" t="n">
        <f aca="false">IF(J112="x",AN$4,"")</f>
        <v>3</v>
      </c>
      <c r="AO112" s="2"/>
      <c r="AP112" s="48" t="n">
        <f aca="false">COUNTIF(G112:J112,"=x")</f>
        <v>1</v>
      </c>
      <c r="AQ112" s="48" t="n">
        <f aca="false">IF(AP112&gt;0,AVERAGE(AK112:AN112),"")</f>
        <v>3</v>
      </c>
      <c r="AR112" s="48" t="n">
        <f aca="false">IF(AND(AP112&gt;0,U112=1),AQ112*R112,"")</f>
        <v>15</v>
      </c>
      <c r="AS112" s="2"/>
      <c r="AT112" s="48" t="n">
        <f aca="false">AI112*3</f>
        <v>15</v>
      </c>
      <c r="AV112" s="54"/>
      <c r="AW112" s="54"/>
    </row>
    <row r="113" customFormat="false" ht="12.8" hidden="false" customHeight="false" outlineLevel="0" collapsed="false">
      <c r="B113" s="99"/>
      <c r="C113" s="82" t="s">
        <v>108</v>
      </c>
      <c r="D113" s="34"/>
      <c r="E113" s="93"/>
      <c r="F113" s="34"/>
      <c r="G113" s="41"/>
      <c r="H113" s="142"/>
      <c r="I113" s="42"/>
      <c r="J113" s="41" t="s">
        <v>22</v>
      </c>
      <c r="K113" s="43"/>
      <c r="L113" s="43"/>
      <c r="M113" s="43"/>
      <c r="N113" s="43"/>
      <c r="O113" s="43"/>
      <c r="P113" s="43"/>
      <c r="Q113" s="43"/>
      <c r="R113" s="47" t="n">
        <v>3</v>
      </c>
      <c r="S113" s="8"/>
      <c r="U113" s="48" t="n">
        <v>1</v>
      </c>
      <c r="V113" s="48" t="n">
        <v>1</v>
      </c>
      <c r="W113" s="26" t="str">
        <f aca="false">IF(AND(U113=1,V113=0),"Bonus","")</f>
        <v/>
      </c>
      <c r="X113" s="2"/>
      <c r="Y113" s="49" t="n">
        <f aca="false">IF(U113=1,AR113,"")</f>
        <v>9</v>
      </c>
      <c r="Z113" s="2"/>
      <c r="AA113" s="2"/>
      <c r="AB113" s="2"/>
      <c r="AC113" s="2"/>
      <c r="AD113" s="2"/>
      <c r="AE113" s="141"/>
      <c r="AG113" s="53"/>
      <c r="AH113" s="2"/>
      <c r="AI113" s="48" t="n">
        <f aca="false">U113*V113*R113</f>
        <v>3</v>
      </c>
      <c r="AJ113" s="2"/>
      <c r="AK113" s="48" t="str">
        <f aca="false">IF(G113="x",AK$4,"")</f>
        <v/>
      </c>
      <c r="AL113" s="48" t="str">
        <f aca="false">IF(H113="x",AL$4,"")</f>
        <v/>
      </c>
      <c r="AM113" s="48" t="str">
        <f aca="false">IF(I113="x",AM$4,"")</f>
        <v/>
      </c>
      <c r="AN113" s="48" t="n">
        <f aca="false">IF(J113="x",AN$4,"")</f>
        <v>3</v>
      </c>
      <c r="AO113" s="2"/>
      <c r="AP113" s="48" t="n">
        <f aca="false">COUNTIF(G113:J113,"=x")</f>
        <v>1</v>
      </c>
      <c r="AQ113" s="48" t="n">
        <f aca="false">IF(AP113&gt;0,AVERAGE(AK113:AN113),"")</f>
        <v>3</v>
      </c>
      <c r="AR113" s="48" t="n">
        <f aca="false">IF(AND(AP113&gt;0,U113=1),AQ113*R113,"")</f>
        <v>9</v>
      </c>
      <c r="AS113" s="2"/>
      <c r="AT113" s="48" t="n">
        <f aca="false">AI113*3</f>
        <v>9</v>
      </c>
      <c r="AV113" s="54"/>
      <c r="AW113" s="54"/>
    </row>
    <row r="114" customFormat="false" ht="12.8" hidden="false" customHeight="false" outlineLevel="0" collapsed="false">
      <c r="B114" s="99"/>
      <c r="C114" s="55" t="s">
        <v>109</v>
      </c>
      <c r="D114" s="56"/>
      <c r="E114" s="97"/>
      <c r="F114" s="34"/>
      <c r="G114" s="143"/>
      <c r="H114" s="144"/>
      <c r="I114" s="143"/>
      <c r="J114" s="143" t="s">
        <v>22</v>
      </c>
      <c r="K114" s="32"/>
      <c r="L114" s="32"/>
      <c r="M114" s="32"/>
      <c r="N114" s="32"/>
      <c r="O114" s="32"/>
      <c r="P114" s="32"/>
      <c r="R114" s="47" t="n">
        <v>2</v>
      </c>
      <c r="S114" s="8"/>
      <c r="U114" s="48" t="n">
        <v>1</v>
      </c>
      <c r="V114" s="48" t="n">
        <v>1</v>
      </c>
      <c r="W114" s="26" t="str">
        <f aca="false">IF(AND(U114=1,V114=0),"Bonus","")</f>
        <v/>
      </c>
      <c r="Y114" s="49" t="n">
        <f aca="false">IF(U114=1,AR114,"")</f>
        <v>6</v>
      </c>
      <c r="Z114" s="2"/>
      <c r="AA114" s="2"/>
      <c r="AB114" s="2"/>
      <c r="AC114" s="2"/>
      <c r="AE114" s="141"/>
      <c r="AG114" s="53"/>
      <c r="AI114" s="48" t="n">
        <f aca="false">U114*V114*R114</f>
        <v>2</v>
      </c>
      <c r="AJ114" s="2"/>
      <c r="AK114" s="48" t="str">
        <f aca="false">IF(G114="x",AK$4,"")</f>
        <v/>
      </c>
      <c r="AL114" s="48" t="str">
        <f aca="false">IF(H114="x",AL$4,"")</f>
        <v/>
      </c>
      <c r="AM114" s="48" t="str">
        <f aca="false">IF(I114="x",AM$4,"")</f>
        <v/>
      </c>
      <c r="AN114" s="48" t="n">
        <f aca="false">IF(J114="x",AN$4,"")</f>
        <v>3</v>
      </c>
      <c r="AO114" s="2"/>
      <c r="AP114" s="48" t="n">
        <f aca="false">COUNTIF(G114:J114,"=x")</f>
        <v>1</v>
      </c>
      <c r="AQ114" s="48" t="n">
        <f aca="false">IF(AP114&gt;0,AVERAGE(AK114:AN114),"")</f>
        <v>3</v>
      </c>
      <c r="AR114" s="48" t="n">
        <f aca="false">IF(AND(AP114&gt;0,U114=1),AQ114*R114,"")</f>
        <v>6</v>
      </c>
      <c r="AS114" s="2"/>
      <c r="AT114" s="48" t="n">
        <f aca="false">AI114*3</f>
        <v>6</v>
      </c>
      <c r="AV114" s="54"/>
      <c r="AW114" s="54"/>
    </row>
    <row r="115" customFormat="false" ht="13.2" hidden="false" customHeight="false" outlineLevel="0" collapsed="false">
      <c r="C115" s="34"/>
      <c r="D115" s="34"/>
      <c r="E115" s="34"/>
      <c r="F115" s="34"/>
      <c r="V115" s="2"/>
      <c r="W115" s="26"/>
      <c r="X115" s="2"/>
      <c r="Y115" s="65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</row>
    <row r="116" customFormat="false" ht="12.75" hidden="false" customHeight="true" outlineLevel="0" collapsed="false">
      <c r="B116" s="3" t="s">
        <v>110</v>
      </c>
      <c r="C116" s="3"/>
      <c r="D116" s="3"/>
      <c r="E116" s="3"/>
      <c r="R116" s="145"/>
      <c r="S116" s="145"/>
      <c r="T116" s="2"/>
      <c r="U116" s="2"/>
      <c r="V116" s="2"/>
      <c r="W116" s="26"/>
      <c r="X116" s="2"/>
      <c r="Y116" s="65"/>
      <c r="AB116" s="2"/>
      <c r="AC116" s="2"/>
      <c r="AD116" s="2"/>
      <c r="AE116" s="2"/>
      <c r="AF116" s="0" t="str">
        <f aca="false">IF(J116="x","TODO !","")</f>
        <v/>
      </c>
      <c r="AH116" s="145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</row>
    <row r="117" customFormat="false" ht="12.75" hidden="false" customHeight="true" outlineLevel="0" collapsed="false">
      <c r="B117" s="107" t="s">
        <v>111</v>
      </c>
      <c r="C117" s="146"/>
      <c r="D117" s="147"/>
      <c r="E117" s="148" t="s">
        <v>112</v>
      </c>
      <c r="G117" s="29" t="s">
        <v>113</v>
      </c>
      <c r="H117" s="29"/>
      <c r="I117" s="29"/>
      <c r="J117" s="29"/>
      <c r="K117" s="149" t="str">
        <f aca="false">IF(G117&lt;&gt;"","","TODO!")</f>
        <v/>
      </c>
      <c r="R117" s="48" t="n">
        <v>0.5</v>
      </c>
      <c r="S117" s="54" t="n">
        <f aca="false">SUM(R117:R124)</f>
        <v>4</v>
      </c>
      <c r="T117" s="2"/>
      <c r="U117" s="48" t="n">
        <v>1</v>
      </c>
      <c r="V117" s="48" t="n">
        <v>1</v>
      </c>
      <c r="W117" s="26" t="str">
        <f aca="false">IF(AND(U117=1,V117=0),"Bonus","")</f>
        <v/>
      </c>
      <c r="X117" s="2"/>
      <c r="Y117" s="150" t="n">
        <f aca="false">AR117</f>
        <v>0</v>
      </c>
      <c r="Z117" s="2"/>
      <c r="AA117" s="2"/>
      <c r="AB117" s="2"/>
      <c r="AC117" s="2"/>
      <c r="AD117" s="2"/>
      <c r="AE117" s="2"/>
      <c r="AF117" s="0" t="str">
        <f aca="false">IF(J117="x","TODO !","")</f>
        <v/>
      </c>
      <c r="AG117" s="151" t="s">
        <v>114</v>
      </c>
      <c r="AH117" s="2"/>
      <c r="AI117" s="48" t="n">
        <f aca="false">U117*V117*R117</f>
        <v>0.5</v>
      </c>
      <c r="AJ117" s="2"/>
      <c r="AK117" s="152" t="str">
        <f aca="false">ByProf!AK117</f>
        <v>RTX 2080 Ti</v>
      </c>
      <c r="AL117" s="152"/>
      <c r="AM117" s="152"/>
      <c r="AN117" s="152"/>
      <c r="AO117" s="2"/>
      <c r="AQ117" s="153" t="n">
        <f aca="false">ISNUMBER(SEARCH(         UPPER(AK117), UPPER(G117)        ))</f>
        <v>0</v>
      </c>
      <c r="AR117" s="48" t="n">
        <f aca="false">AI117*AQ117</f>
        <v>0</v>
      </c>
      <c r="AS117" s="2"/>
      <c r="AT117" s="48" t="n">
        <f aca="false">AI117</f>
        <v>0.5</v>
      </c>
      <c r="AV117" s="54" t="n">
        <f aca="false">SUM(AR117:AR124)</f>
        <v>3</v>
      </c>
      <c r="AW117" s="54" t="n">
        <f aca="false">SUM(AT117:AT124)</f>
        <v>4</v>
      </c>
    </row>
    <row r="118" customFormat="false" ht="13.2" hidden="false" customHeight="false" outlineLevel="0" collapsed="false">
      <c r="B118" s="107"/>
      <c r="C118" s="95"/>
      <c r="D118" s="5"/>
      <c r="E118" s="154" t="s">
        <v>115</v>
      </c>
      <c r="G118" s="29" t="n">
        <v>75</v>
      </c>
      <c r="H118" s="29"/>
      <c r="I118" s="29"/>
      <c r="J118" s="29"/>
      <c r="K118" s="149" t="str">
        <f aca="false">IF(G118&lt;&gt;"","","TODO!")</f>
        <v/>
      </c>
      <c r="R118" s="48" t="n">
        <v>0.5</v>
      </c>
      <c r="S118" s="54"/>
      <c r="T118" s="2"/>
      <c r="U118" s="48" t="n">
        <v>1</v>
      </c>
      <c r="V118" s="48" t="n">
        <v>1</v>
      </c>
      <c r="W118" s="26" t="str">
        <f aca="false">IF(AND(U118=1,V118=0),"Bonus","")</f>
        <v/>
      </c>
      <c r="X118" s="2"/>
      <c r="Y118" s="150" t="n">
        <f aca="false">AR118</f>
        <v>0.5</v>
      </c>
      <c r="Z118" s="2"/>
      <c r="AA118" s="2"/>
      <c r="AB118" s="2"/>
      <c r="AC118" s="2"/>
      <c r="AD118" s="2"/>
      <c r="AE118" s="2"/>
      <c r="AG118" s="151"/>
      <c r="AH118" s="2"/>
      <c r="AI118" s="48" t="n">
        <f aca="false">U118*V118*R118</f>
        <v>0.5</v>
      </c>
      <c r="AJ118" s="2"/>
      <c r="AK118" s="152" t="n">
        <f aca="false">ByProf!AK118</f>
        <v>75</v>
      </c>
      <c r="AL118" s="152"/>
      <c r="AM118" s="152"/>
      <c r="AN118" s="152"/>
      <c r="AO118" s="2"/>
      <c r="AQ118" s="153" t="n">
        <f aca="false">IF(AK118=G118,1,0)</f>
        <v>1</v>
      </c>
      <c r="AR118" s="48" t="n">
        <f aca="false">AI118*AQ118</f>
        <v>0.5</v>
      </c>
      <c r="AS118" s="2"/>
      <c r="AT118" s="48" t="n">
        <f aca="false">AI118</f>
        <v>0.5</v>
      </c>
      <c r="AV118" s="54"/>
      <c r="AW118" s="54"/>
    </row>
    <row r="119" customFormat="false" ht="13.2" hidden="false" customHeight="false" outlineLevel="0" collapsed="false">
      <c r="B119" s="107"/>
      <c r="C119" s="95"/>
      <c r="E119" s="154" t="s">
        <v>116</v>
      </c>
      <c r="G119" s="29" t="n">
        <v>4352</v>
      </c>
      <c r="H119" s="29"/>
      <c r="I119" s="29"/>
      <c r="J119" s="29"/>
      <c r="K119" s="149" t="str">
        <f aca="false">IF(G119&lt;&gt;"","","TODO!")</f>
        <v/>
      </c>
      <c r="R119" s="48" t="n">
        <v>0.5</v>
      </c>
      <c r="S119" s="54"/>
      <c r="T119" s="2"/>
      <c r="U119" s="48" t="n">
        <v>1</v>
      </c>
      <c r="V119" s="48" t="n">
        <v>1</v>
      </c>
      <c r="W119" s="26" t="str">
        <f aca="false">IF(AND(U119=1,V119=0),"Bonus","")</f>
        <v/>
      </c>
      <c r="X119" s="2"/>
      <c r="Y119" s="150" t="n">
        <f aca="false">AR119</f>
        <v>0</v>
      </c>
      <c r="Z119" s="2"/>
      <c r="AA119" s="2"/>
      <c r="AB119" s="2"/>
      <c r="AC119" s="2"/>
      <c r="AD119" s="2"/>
      <c r="AE119" s="2"/>
      <c r="AG119" s="151"/>
      <c r="AH119" s="2"/>
      <c r="AI119" s="48" t="n">
        <f aca="false">U119*V119*R119</f>
        <v>0.5</v>
      </c>
      <c r="AJ119" s="2"/>
      <c r="AK119" s="152" t="n">
        <f aca="false">ByProf!AK119</f>
        <v>3</v>
      </c>
      <c r="AL119" s="152"/>
      <c r="AM119" s="152"/>
      <c r="AN119" s="152"/>
      <c r="AO119" s="2"/>
      <c r="AQ119" s="153" t="n">
        <f aca="false">IF(AK119=G119,1,0)</f>
        <v>0</v>
      </c>
      <c r="AR119" s="48" t="n">
        <f aca="false">AI119*AQ119</f>
        <v>0</v>
      </c>
      <c r="AS119" s="2"/>
      <c r="AT119" s="48" t="n">
        <f aca="false">AI119</f>
        <v>0.5</v>
      </c>
      <c r="AV119" s="54"/>
      <c r="AW119" s="54"/>
    </row>
    <row r="120" customFormat="false" ht="13.2" hidden="false" customHeight="false" outlineLevel="0" collapsed="false">
      <c r="B120" s="107"/>
      <c r="C120" s="95"/>
      <c r="E120" s="155" t="s">
        <v>117</v>
      </c>
      <c r="G120" s="29" t="n">
        <v>68</v>
      </c>
      <c r="H120" s="29"/>
      <c r="I120" s="29"/>
      <c r="J120" s="29"/>
      <c r="K120" s="149" t="str">
        <f aca="false">IF(G120&lt;&gt;"","","TODO!")</f>
        <v/>
      </c>
      <c r="R120" s="48" t="n">
        <v>0.5</v>
      </c>
      <c r="S120" s="54"/>
      <c r="U120" s="48" t="n">
        <v>1</v>
      </c>
      <c r="V120" s="48" t="n">
        <v>1</v>
      </c>
      <c r="W120" s="26" t="str">
        <f aca="false">IF(AND(U120=1,V120=0),"Bonus","")</f>
        <v/>
      </c>
      <c r="Y120" s="150" t="n">
        <f aca="false">AR120</f>
        <v>0.5</v>
      </c>
      <c r="AF120" s="0" t="str">
        <f aca="false">IF(J120="x","TODO !","")</f>
        <v/>
      </c>
      <c r="AG120" s="151"/>
      <c r="AI120" s="48" t="n">
        <f aca="false">U120*V120*R120</f>
        <v>0.5</v>
      </c>
      <c r="AJ120" s="2"/>
      <c r="AK120" s="152" t="n">
        <f aca="false">ByProf!AK120</f>
        <v>68</v>
      </c>
      <c r="AL120" s="152"/>
      <c r="AM120" s="152"/>
      <c r="AN120" s="152"/>
      <c r="AO120" s="2"/>
      <c r="AQ120" s="153" t="n">
        <f aca="false">IF(AK120=G120,1,0)</f>
        <v>1</v>
      </c>
      <c r="AR120" s="48" t="n">
        <f aca="false">AI120*AQ120</f>
        <v>0.5</v>
      </c>
      <c r="AS120" s="2"/>
      <c r="AT120" s="48" t="n">
        <f aca="false">AI120</f>
        <v>0.5</v>
      </c>
      <c r="AV120" s="54"/>
      <c r="AW120" s="54"/>
    </row>
    <row r="121" customFormat="false" ht="13.2" hidden="false" customHeight="false" outlineLevel="0" collapsed="false">
      <c r="B121" s="107"/>
      <c r="C121" s="95"/>
      <c r="D121" s="34"/>
      <c r="E121" s="154" t="s">
        <v>118</v>
      </c>
      <c r="G121" s="29" t="n">
        <v>64</v>
      </c>
      <c r="H121" s="29"/>
      <c r="I121" s="29"/>
      <c r="J121" s="29"/>
      <c r="K121" s="149" t="str">
        <f aca="false">IF(G121&lt;&gt;"","","TODO!")</f>
        <v/>
      </c>
      <c r="R121" s="48" t="n">
        <v>0.5</v>
      </c>
      <c r="S121" s="54"/>
      <c r="U121" s="48" t="n">
        <v>1</v>
      </c>
      <c r="V121" s="48" t="n">
        <v>1</v>
      </c>
      <c r="W121" s="26" t="str">
        <f aca="false">IF(AND(U121=1,V121=0),"Bonus","")</f>
        <v/>
      </c>
      <c r="Y121" s="150" t="n">
        <f aca="false">AR121</f>
        <v>0.5</v>
      </c>
      <c r="AF121" s="0" t="str">
        <f aca="false">IF(J121="x","TODO !","")</f>
        <v/>
      </c>
      <c r="AG121" s="151"/>
      <c r="AI121" s="48" t="n">
        <f aca="false">U121*V121*R121</f>
        <v>0.5</v>
      </c>
      <c r="AJ121" s="2"/>
      <c r="AK121" s="152" t="n">
        <f aca="false">ByProf!AK121</f>
        <v>64</v>
      </c>
      <c r="AL121" s="152"/>
      <c r="AM121" s="152"/>
      <c r="AN121" s="152"/>
      <c r="AO121" s="2"/>
      <c r="AQ121" s="153" t="n">
        <f aca="false">IF(AK121=G121,1,0)</f>
        <v>1</v>
      </c>
      <c r="AR121" s="48" t="n">
        <f aca="false">AI121*AQ121</f>
        <v>0.5</v>
      </c>
      <c r="AS121" s="2"/>
      <c r="AT121" s="48" t="n">
        <f aca="false">AI121</f>
        <v>0.5</v>
      </c>
      <c r="AV121" s="54"/>
      <c r="AW121" s="54"/>
    </row>
    <row r="122" customFormat="false" ht="13.2" hidden="false" customHeight="false" outlineLevel="0" collapsed="false">
      <c r="B122" s="107"/>
      <c r="C122" s="95"/>
      <c r="D122" s="34"/>
      <c r="E122" s="154" t="s">
        <v>119</v>
      </c>
      <c r="G122" s="29" t="n">
        <v>11</v>
      </c>
      <c r="H122" s="29"/>
      <c r="I122" s="29"/>
      <c r="J122" s="29"/>
      <c r="K122" s="149" t="str">
        <f aca="false">IF(G122&lt;&gt;"","","TODO!")</f>
        <v/>
      </c>
      <c r="L122" s="156"/>
      <c r="M122" s="156"/>
      <c r="N122" s="156"/>
      <c r="O122" s="157"/>
      <c r="P122" s="157"/>
      <c r="R122" s="48" t="n">
        <v>0.5</v>
      </c>
      <c r="S122" s="54"/>
      <c r="U122" s="48" t="n">
        <v>1</v>
      </c>
      <c r="V122" s="48" t="n">
        <v>1</v>
      </c>
      <c r="W122" s="26" t="str">
        <f aca="false">IF(AND(U122=1,V122=0),"Bonus","")</f>
        <v/>
      </c>
      <c r="Y122" s="150" t="n">
        <f aca="false">AR122</f>
        <v>0.5</v>
      </c>
      <c r="AE122" s="5"/>
      <c r="AF122" s="66"/>
      <c r="AG122" s="151"/>
      <c r="AI122" s="48" t="n">
        <f aca="false">U122*V122*R122</f>
        <v>0.5</v>
      </c>
      <c r="AJ122" s="2"/>
      <c r="AK122" s="152" t="n">
        <f aca="false">ByProf!AK122</f>
        <v>11</v>
      </c>
      <c r="AL122" s="152"/>
      <c r="AM122" s="152"/>
      <c r="AN122" s="152"/>
      <c r="AO122" s="2"/>
      <c r="AQ122" s="153" t="n">
        <f aca="false">IF(AK122=G122,1,0)</f>
        <v>1</v>
      </c>
      <c r="AR122" s="48" t="n">
        <f aca="false">AI122*AQ122</f>
        <v>0.5</v>
      </c>
      <c r="AS122" s="2"/>
      <c r="AT122" s="48" t="n">
        <f aca="false">AI122</f>
        <v>0.5</v>
      </c>
      <c r="AV122" s="54"/>
      <c r="AW122" s="54"/>
    </row>
    <row r="123" customFormat="false" ht="13.2" hidden="false" customHeight="false" outlineLevel="0" collapsed="false">
      <c r="B123" s="107"/>
      <c r="C123" s="95"/>
      <c r="E123" s="154" t="s">
        <v>120</v>
      </c>
      <c r="G123" s="29" t="n">
        <v>48</v>
      </c>
      <c r="H123" s="29"/>
      <c r="I123" s="29"/>
      <c r="J123" s="29"/>
      <c r="K123" s="149" t="str">
        <f aca="false">IF(G123&lt;&gt;"","","TODO!")</f>
        <v/>
      </c>
      <c r="L123" s="156"/>
      <c r="M123" s="156"/>
      <c r="N123" s="156"/>
      <c r="O123" s="157"/>
      <c r="P123" s="157"/>
      <c r="R123" s="48" t="n">
        <v>0.5</v>
      </c>
      <c r="S123" s="54"/>
      <c r="U123" s="48" t="n">
        <v>1</v>
      </c>
      <c r="V123" s="48" t="n">
        <v>1</v>
      </c>
      <c r="W123" s="26" t="str">
        <f aca="false">IF(AND(U123=1,V123=0),"Bonus","")</f>
        <v/>
      </c>
      <c r="Y123" s="150" t="n">
        <f aca="false">AR123</f>
        <v>0.5</v>
      </c>
      <c r="AF123" s="66"/>
      <c r="AG123" s="151"/>
      <c r="AI123" s="48" t="n">
        <f aca="false">U123*V123*R123</f>
        <v>0.5</v>
      </c>
      <c r="AJ123" s="2"/>
      <c r="AK123" s="152" t="n">
        <f aca="false">ByProf!AK123</f>
        <v>48</v>
      </c>
      <c r="AL123" s="152"/>
      <c r="AM123" s="152"/>
      <c r="AN123" s="152"/>
      <c r="AO123" s="2"/>
      <c r="AQ123" s="153" t="n">
        <f aca="false">IF(AK123=G123,1,0)</f>
        <v>1</v>
      </c>
      <c r="AR123" s="48" t="n">
        <f aca="false">AI123*AQ123</f>
        <v>0.5</v>
      </c>
      <c r="AS123" s="2"/>
      <c r="AT123" s="48" t="n">
        <f aca="false">AI123</f>
        <v>0.5</v>
      </c>
      <c r="AV123" s="54"/>
      <c r="AW123" s="54"/>
    </row>
    <row r="124" customFormat="false" ht="13.2" hidden="false" customHeight="false" outlineLevel="0" collapsed="false">
      <c r="B124" s="107"/>
      <c r="C124" s="131"/>
      <c r="D124" s="132"/>
      <c r="E124" s="158" t="s">
        <v>121</v>
      </c>
      <c r="G124" s="29" t="n">
        <v>64</v>
      </c>
      <c r="H124" s="29"/>
      <c r="I124" s="29"/>
      <c r="J124" s="29"/>
      <c r="K124" s="149" t="str">
        <f aca="false">IF(G124&lt;&gt;"","","TODO!")</f>
        <v/>
      </c>
      <c r="L124" s="3"/>
      <c r="M124" s="26"/>
      <c r="N124" s="26"/>
      <c r="O124" s="26"/>
      <c r="P124" s="26"/>
      <c r="R124" s="48" t="n">
        <v>0.5</v>
      </c>
      <c r="S124" s="54"/>
      <c r="U124" s="48" t="n">
        <v>1</v>
      </c>
      <c r="V124" s="48" t="n">
        <v>1</v>
      </c>
      <c r="W124" s="26" t="str">
        <f aca="false">IF(AND(U124=1,V124=0),"Bonus","")</f>
        <v/>
      </c>
      <c r="Y124" s="150" t="n">
        <f aca="false">AR124</f>
        <v>0.5</v>
      </c>
      <c r="AG124" s="151"/>
      <c r="AI124" s="48" t="n">
        <f aca="false">U124*V124*R124</f>
        <v>0.5</v>
      </c>
      <c r="AJ124" s="2"/>
      <c r="AK124" s="152" t="n">
        <f aca="false">ByProf!AK124</f>
        <v>64</v>
      </c>
      <c r="AL124" s="152"/>
      <c r="AM124" s="152"/>
      <c r="AN124" s="152"/>
      <c r="AO124" s="2"/>
      <c r="AQ124" s="153" t="n">
        <f aca="false">IF(AK124=G124,1,0)</f>
        <v>1</v>
      </c>
      <c r="AR124" s="48" t="n">
        <f aca="false">AI124*AQ124</f>
        <v>0.5</v>
      </c>
      <c r="AS124" s="2"/>
      <c r="AT124" s="48" t="n">
        <f aca="false">AI124</f>
        <v>0.5</v>
      </c>
      <c r="AU124" s="5"/>
      <c r="AV124" s="54"/>
      <c r="AW124" s="54"/>
    </row>
    <row r="125" customFormat="false" ht="13.2" hidden="false" customHeight="false" outlineLevel="0" collapsed="false">
      <c r="B125" s="3" t="s">
        <v>122</v>
      </c>
      <c r="E125" s="159"/>
      <c r="G125" s="32"/>
      <c r="H125" s="2"/>
      <c r="I125" s="2"/>
      <c r="J125" s="2"/>
      <c r="K125" s="2"/>
      <c r="L125" s="3"/>
      <c r="M125" s="26"/>
      <c r="N125" s="26"/>
      <c r="O125" s="26"/>
      <c r="P125" s="26"/>
      <c r="R125" s="2"/>
      <c r="S125" s="157"/>
      <c r="U125" s="2"/>
      <c r="V125" s="2"/>
      <c r="W125" s="26"/>
      <c r="Y125" s="50"/>
      <c r="AG125" s="160"/>
      <c r="AI125" s="2"/>
      <c r="AJ125" s="2"/>
      <c r="AK125" s="32"/>
      <c r="AL125" s="2"/>
      <c r="AM125" s="2"/>
      <c r="AN125" s="2"/>
      <c r="AO125" s="2"/>
      <c r="AQ125" s="2"/>
      <c r="AR125" s="2"/>
      <c r="AS125" s="2"/>
      <c r="AT125" s="2"/>
      <c r="AU125" s="5"/>
      <c r="AV125" s="157"/>
      <c r="AW125" s="157"/>
    </row>
    <row r="126" customFormat="false" ht="13.8" hidden="false" customHeight="false" outlineLevel="0" collapsed="false"/>
    <row r="127" customFormat="false" ht="24" hidden="false" customHeight="false" outlineLevel="0" collapsed="false">
      <c r="D127" s="161" t="s">
        <v>123</v>
      </c>
      <c r="E127" s="161"/>
      <c r="G127" s="162" t="n">
        <f aca="false">ROUND(AT132,1)</f>
        <v>6</v>
      </c>
      <c r="H127" s="162"/>
      <c r="I127" s="162"/>
      <c r="J127" s="162"/>
      <c r="K127" s="163"/>
      <c r="L127" s="163"/>
      <c r="M127" s="163"/>
      <c r="N127" s="163"/>
      <c r="O127" s="163"/>
      <c r="P127" s="163"/>
      <c r="V127" s="80"/>
      <c r="W127" s="80"/>
      <c r="X127" s="164"/>
      <c r="Y127" s="165" t="n">
        <f aca="false">SUM(Y6:Y124)</f>
        <v>489</v>
      </c>
      <c r="Z127" s="166" t="s">
        <v>124</v>
      </c>
      <c r="AA127" s="167" t="n">
        <f aca="false">AT127</f>
        <v>490</v>
      </c>
      <c r="AB127" s="80"/>
      <c r="AC127" s="80"/>
      <c r="AD127" s="80"/>
      <c r="AE127" s="80"/>
      <c r="AF127" s="80"/>
      <c r="AG127" s="80"/>
      <c r="AH127" s="80"/>
      <c r="AI127" s="80"/>
      <c r="AJ127" s="80"/>
      <c r="AR127" s="166" t="n">
        <f aca="false">SUM(AR6:AR124)</f>
        <v>489</v>
      </c>
      <c r="AT127" s="166" t="n">
        <f aca="false">SUM(AT6:AT124)</f>
        <v>490</v>
      </c>
      <c r="AV127" s="168" t="n">
        <f aca="false">SUM(AV6:AV124)</f>
        <v>489</v>
      </c>
      <c r="AW127" s="168" t="n">
        <f aca="false">SUM(AW6:AW124)</f>
        <v>490</v>
      </c>
    </row>
    <row r="128" customFormat="false" ht="20.25" hidden="false" customHeight="true" outlineLevel="0" collapsed="false">
      <c r="D128" s="169"/>
      <c r="E128" s="169"/>
      <c r="F128" s="34"/>
      <c r="G128" s="170"/>
      <c r="H128" s="170"/>
      <c r="I128" s="170"/>
      <c r="J128" s="170"/>
      <c r="K128" s="171"/>
      <c r="L128" s="171"/>
      <c r="M128" s="171"/>
      <c r="N128" s="98"/>
      <c r="O128" s="98"/>
      <c r="P128" s="98"/>
      <c r="AR128" s="32" t="s">
        <v>125</v>
      </c>
      <c r="AS128" s="2"/>
      <c r="AT128" s="32" t="s">
        <v>126</v>
      </c>
    </row>
    <row r="129" customFormat="false" ht="12.75" hidden="false" customHeight="true" outlineLevel="0" collapsed="false">
      <c r="D129" s="169"/>
      <c r="E129" s="169"/>
      <c r="G129" s="170"/>
      <c r="H129" s="170"/>
      <c r="I129" s="170"/>
      <c r="J129" s="170"/>
      <c r="K129" s="171"/>
      <c r="L129" s="171"/>
      <c r="M129" s="171"/>
      <c r="AR129" s="32"/>
      <c r="AS129" s="2"/>
      <c r="AT129" s="32"/>
    </row>
    <row r="130" customFormat="false" ht="13.2" hidden="false" customHeight="false" outlineLevel="0" collapsed="false">
      <c r="AR130" s="2"/>
      <c r="AS130" s="141"/>
    </row>
    <row r="131" customFormat="false" ht="13.2" hidden="false" customHeight="false" outlineLevel="0" collapsed="false">
      <c r="M131" s="69"/>
      <c r="N131" s="69"/>
      <c r="O131" s="69"/>
      <c r="P131" s="69"/>
      <c r="AR131" s="172"/>
      <c r="AS131" s="173"/>
    </row>
    <row r="132" customFormat="false" ht="22.8" hidden="false" customHeight="false" outlineLevel="0" collapsed="false">
      <c r="B132" s="174" t="s">
        <v>127</v>
      </c>
      <c r="C132" s="174"/>
      <c r="D132" s="174"/>
      <c r="E132" s="174"/>
      <c r="F132" s="174"/>
      <c r="G132" s="174"/>
      <c r="H132" s="174"/>
      <c r="I132" s="174"/>
      <c r="J132" s="174"/>
      <c r="K132" s="174"/>
      <c r="L132" s="174"/>
      <c r="M132" s="174" t="s">
        <v>128</v>
      </c>
      <c r="N132" s="174"/>
      <c r="O132" s="174"/>
      <c r="P132" s="174"/>
      <c r="Q132" s="169"/>
      <c r="S132" s="175" t="s">
        <v>7</v>
      </c>
      <c r="T132" s="175"/>
      <c r="U132" s="175"/>
      <c r="V132" s="175"/>
      <c r="Y132" s="175" t="s">
        <v>129</v>
      </c>
      <c r="Z132" s="175"/>
      <c r="AA132" s="175"/>
      <c r="AB132" s="175"/>
      <c r="AE132" s="176" t="s">
        <v>130</v>
      </c>
      <c r="AF132" s="5"/>
      <c r="AG132" s="5"/>
      <c r="AT132" s="177" t="n">
        <f aca="false">(AT136*AR127)+AT135</f>
        <v>5.98979591836737</v>
      </c>
    </row>
    <row r="133" customFormat="false" ht="13.5" hidden="false" customHeight="true" outlineLevel="0" collapsed="false">
      <c r="M133" s="8" t="s">
        <v>131</v>
      </c>
      <c r="N133" s="8"/>
      <c r="O133" s="8"/>
      <c r="P133" s="8"/>
      <c r="S133" s="8" t="s">
        <v>132</v>
      </c>
      <c r="T133" s="8"/>
      <c r="U133" s="8"/>
      <c r="V133" s="8"/>
      <c r="Y133" s="8" t="s">
        <v>133</v>
      </c>
      <c r="Z133" s="8"/>
      <c r="AA133" s="8"/>
      <c r="AB133" s="8"/>
      <c r="AT133" s="32" t="s">
        <v>123</v>
      </c>
    </row>
    <row r="134" customFormat="false" ht="13.2" hidden="false" customHeight="false" outlineLevel="0" collapsed="false">
      <c r="M134" s="8"/>
      <c r="N134" s="8"/>
      <c r="O134" s="8"/>
      <c r="P134" s="8"/>
      <c r="S134" s="8"/>
      <c r="T134" s="8"/>
      <c r="U134" s="8"/>
      <c r="V134" s="8"/>
      <c r="Y134" s="8"/>
      <c r="Z134" s="8"/>
      <c r="AA134" s="8"/>
      <c r="AB134" s="8"/>
    </row>
    <row r="135" customFormat="false" ht="13.8" hidden="false" customHeight="false" outlineLevel="0" collapsed="false">
      <c r="M135" s="34"/>
      <c r="AR135" s="178" t="s">
        <v>134</v>
      </c>
      <c r="AS135" s="178"/>
      <c r="AT135" s="179" t="n">
        <v>1</v>
      </c>
    </row>
    <row r="136" customFormat="false" ht="13.2" hidden="false" customHeight="false" outlineLevel="0" collapsed="false">
      <c r="B136" s="180" t="s">
        <v>135</v>
      </c>
      <c r="C136" s="40" t="s">
        <v>136</v>
      </c>
      <c r="D136" s="40"/>
      <c r="E136" s="40"/>
      <c r="F136" s="40"/>
      <c r="G136" s="40"/>
      <c r="H136" s="40"/>
      <c r="I136" s="40"/>
      <c r="J136" s="40"/>
      <c r="K136" s="40"/>
      <c r="L136" s="0" t="str">
        <f aca="false">IF(C136="","TODO !","Merci !")</f>
        <v>Merci !</v>
      </c>
      <c r="M136" s="181"/>
      <c r="N136" s="181"/>
      <c r="O136" s="181"/>
      <c r="P136" s="181"/>
      <c r="S136" s="162" t="n">
        <f aca="false">G127+IF(M136&lt;&gt;"",MIN(M136,0.5),0)</f>
        <v>6</v>
      </c>
      <c r="T136" s="162"/>
      <c r="U136" s="162"/>
      <c r="V136" s="162"/>
      <c r="Y136" s="182" t="n">
        <f aca="false">MAX(1,MIN(S136,6))</f>
        <v>6</v>
      </c>
      <c r="Z136" s="182"/>
      <c r="AA136" s="182"/>
      <c r="AB136" s="182"/>
      <c r="AE136" s="183"/>
      <c r="AF136" s="184" t="str">
        <f aca="false">IF(AND(M136&lt;&gt;0,AE136=""),"TODO ! Justifiier Bonus/malus !","")</f>
        <v/>
      </c>
      <c r="AG136" s="62"/>
      <c r="AH136" s="185"/>
      <c r="AI136" s="185"/>
      <c r="AJ136" s="185"/>
      <c r="AK136" s="185"/>
      <c r="AL136" s="185"/>
      <c r="AM136" s="185"/>
      <c r="AN136" s="185"/>
      <c r="AO136" s="185"/>
      <c r="AP136" s="185"/>
      <c r="AQ136" s="185"/>
      <c r="AR136" s="186" t="s">
        <v>137</v>
      </c>
      <c r="AS136" s="186"/>
      <c r="AT136" s="187" t="n">
        <f aca="false">5/AT127</f>
        <v>0.0102040816326531</v>
      </c>
      <c r="AU136" s="185"/>
      <c r="AV136" s="185"/>
      <c r="AW136" s="185"/>
      <c r="AX136" s="5"/>
    </row>
    <row r="137" customFormat="false" ht="13.2" hidden="false" customHeight="false" outlineLevel="0" collapsed="false">
      <c r="B137" s="188" t="s">
        <v>138</v>
      </c>
      <c r="C137" s="189" t="s">
        <v>139</v>
      </c>
      <c r="D137" s="189"/>
      <c r="E137" s="189"/>
      <c r="F137" s="189"/>
      <c r="G137" s="189"/>
      <c r="H137" s="189"/>
      <c r="I137" s="189"/>
      <c r="J137" s="189"/>
      <c r="K137" s="189"/>
      <c r="L137" s="0" t="str">
        <f aca="false">IF(C137="","TODO !","Merci !")</f>
        <v>Merci !</v>
      </c>
      <c r="M137" s="181"/>
      <c r="N137" s="181"/>
      <c r="O137" s="181"/>
      <c r="P137" s="181"/>
      <c r="S137" s="162"/>
      <c r="T137" s="162"/>
      <c r="U137" s="162"/>
      <c r="V137" s="162"/>
      <c r="Y137" s="182"/>
      <c r="Z137" s="182"/>
      <c r="AA137" s="182"/>
      <c r="AB137" s="182"/>
      <c r="AE137" s="183"/>
      <c r="AF137" s="184"/>
      <c r="AG137" s="62"/>
      <c r="AH137" s="185"/>
      <c r="AI137" s="185"/>
      <c r="AJ137" s="185"/>
      <c r="AK137" s="185"/>
      <c r="AL137" s="185"/>
      <c r="AM137" s="185"/>
      <c r="AN137" s="185"/>
      <c r="AO137" s="185"/>
      <c r="AP137" s="185"/>
      <c r="AQ137" s="185"/>
      <c r="AR137" s="190" t="s">
        <v>140</v>
      </c>
      <c r="AS137" s="190"/>
      <c r="AT137" s="190"/>
      <c r="AU137" s="185"/>
      <c r="AV137" s="185"/>
      <c r="AW137" s="185"/>
    </row>
    <row r="138" customFormat="false" ht="13.2" hidden="false" customHeight="false" outlineLevel="0" collapsed="false">
      <c r="B138" s="191" t="s">
        <v>141</v>
      </c>
      <c r="C138" s="192" t="s">
        <v>142</v>
      </c>
      <c r="D138" s="192"/>
      <c r="E138" s="192"/>
      <c r="F138" s="192"/>
      <c r="G138" s="192"/>
      <c r="H138" s="192"/>
      <c r="I138" s="192"/>
      <c r="J138" s="192"/>
      <c r="K138" s="192"/>
      <c r="L138" s="0" t="str">
        <f aca="false">IF(C138="","TODO !","Merci !")</f>
        <v>Merci !</v>
      </c>
      <c r="M138" s="181"/>
      <c r="N138" s="181"/>
      <c r="O138" s="181"/>
      <c r="P138" s="181"/>
      <c r="S138" s="162"/>
      <c r="T138" s="162"/>
      <c r="U138" s="162"/>
      <c r="V138" s="162"/>
      <c r="Y138" s="182"/>
      <c r="Z138" s="182"/>
      <c r="AA138" s="182"/>
      <c r="AB138" s="182"/>
      <c r="AE138" s="183"/>
      <c r="AF138" s="184"/>
      <c r="AG138" s="62"/>
      <c r="AH138" s="185"/>
      <c r="AI138" s="185"/>
      <c r="AJ138" s="185"/>
      <c r="AK138" s="185"/>
      <c r="AL138" s="185"/>
      <c r="AM138" s="185"/>
      <c r="AN138" s="185"/>
      <c r="AO138" s="185"/>
      <c r="AP138" s="185"/>
      <c r="AQ138" s="185"/>
      <c r="AR138" s="193" t="s">
        <v>143</v>
      </c>
      <c r="AS138" s="193"/>
      <c r="AT138" s="193"/>
      <c r="AU138" s="185"/>
      <c r="AV138" s="185"/>
      <c r="AW138" s="185"/>
    </row>
    <row r="139" customFormat="false" ht="13.8" hidden="false" customHeight="false" outlineLevel="0" collapsed="false">
      <c r="B139" s="194" t="s">
        <v>144</v>
      </c>
      <c r="C139" s="195" t="n">
        <v>27</v>
      </c>
      <c r="D139" s="195"/>
      <c r="E139" s="195"/>
      <c r="F139" s="195"/>
      <c r="G139" s="195"/>
      <c r="H139" s="195"/>
      <c r="I139" s="195"/>
      <c r="J139" s="195"/>
      <c r="K139" s="195"/>
      <c r="L139" s="0" t="str">
        <f aca="false">IF(C139="","TODO !","Merci !")</f>
        <v>Merci !</v>
      </c>
      <c r="M139" s="181"/>
      <c r="N139" s="181"/>
      <c r="O139" s="181"/>
      <c r="P139" s="181"/>
      <c r="S139" s="162"/>
      <c r="T139" s="162"/>
      <c r="U139" s="162"/>
      <c r="V139" s="162"/>
      <c r="Y139" s="182"/>
      <c r="Z139" s="182"/>
      <c r="AA139" s="182"/>
      <c r="AB139" s="182"/>
      <c r="AE139" s="183"/>
      <c r="AF139" s="184"/>
      <c r="AG139" s="62"/>
      <c r="AH139" s="185"/>
      <c r="AI139" s="185"/>
      <c r="AJ139" s="185"/>
      <c r="AK139" s="185"/>
      <c r="AL139" s="185"/>
      <c r="AM139" s="185"/>
      <c r="AN139" s="185"/>
      <c r="AO139" s="185"/>
      <c r="AP139" s="185"/>
      <c r="AQ139" s="185"/>
      <c r="AR139" s="185"/>
      <c r="AS139" s="185"/>
      <c r="AT139" s="185"/>
      <c r="AU139" s="185"/>
      <c r="AV139" s="185"/>
      <c r="AW139" s="185"/>
    </row>
    <row r="140" customFormat="false" ht="13.2" hidden="false" customHeight="false" outlineLevel="0" collapsed="false">
      <c r="M140" s="135" t="str">
        <f aca="false">IF(M136&gt;0.5,"max 0.5","")</f>
        <v/>
      </c>
      <c r="N140" s="135"/>
      <c r="O140" s="135"/>
      <c r="P140" s="135"/>
      <c r="AT140" s="2"/>
    </row>
    <row r="141" customFormat="false" ht="13.8" hidden="false" customHeight="false" outlineLevel="0" collapsed="false"/>
    <row r="142" customFormat="false" ht="13.2" hidden="false" customHeight="false" outlineLevel="0" collapsed="false">
      <c r="B142" s="180" t="s">
        <v>135</v>
      </c>
      <c r="C142" s="40" t="s">
        <v>136</v>
      </c>
      <c r="D142" s="40"/>
      <c r="E142" s="40"/>
      <c r="F142" s="40"/>
      <c r="G142" s="40"/>
      <c r="H142" s="40"/>
      <c r="I142" s="40"/>
      <c r="J142" s="40"/>
      <c r="K142" s="40"/>
      <c r="L142" s="0" t="str">
        <f aca="false">IF(C142="","TODO !","Merci !")</f>
        <v>Merci !</v>
      </c>
      <c r="M142" s="181"/>
      <c r="N142" s="181"/>
      <c r="O142" s="181"/>
      <c r="P142" s="181"/>
      <c r="S142" s="162" t="n">
        <f aca="false">G127+IF(M142&lt;&gt;"",MIN(M142,0.5),0)</f>
        <v>6</v>
      </c>
      <c r="T142" s="162"/>
      <c r="U142" s="162"/>
      <c r="V142" s="162"/>
      <c r="Y142" s="182" t="n">
        <f aca="false">MAX(1,MIN(S142,6))</f>
        <v>6</v>
      </c>
      <c r="Z142" s="182"/>
      <c r="AA142" s="182"/>
      <c r="AB142" s="182"/>
      <c r="AE142" s="183"/>
      <c r="AF142" s="184" t="str">
        <f aca="false">IF(AND(M142&lt;&gt;0,AE142=""),"TODO ! Justifiier Bonus/malus !","")</f>
        <v/>
      </c>
      <c r="AG142" s="62"/>
      <c r="AH142" s="185"/>
      <c r="AI142" s="185"/>
      <c r="AJ142" s="185"/>
      <c r="AK142" s="185"/>
      <c r="AL142" s="185"/>
      <c r="AM142" s="185"/>
      <c r="AN142" s="185"/>
      <c r="AO142" s="185"/>
      <c r="AP142" s="185"/>
      <c r="AQ142" s="185"/>
      <c r="AR142" s="185"/>
      <c r="AS142" s="185"/>
      <c r="AT142" s="185"/>
      <c r="AU142" s="185"/>
      <c r="AV142" s="185"/>
      <c r="AW142" s="185"/>
      <c r="AX142" s="5"/>
    </row>
    <row r="143" customFormat="false" ht="13.2" hidden="false" customHeight="false" outlineLevel="0" collapsed="false">
      <c r="B143" s="188" t="s">
        <v>138</v>
      </c>
      <c r="C143" s="189" t="s">
        <v>145</v>
      </c>
      <c r="D143" s="189"/>
      <c r="E143" s="189"/>
      <c r="F143" s="189"/>
      <c r="G143" s="189"/>
      <c r="H143" s="189"/>
      <c r="I143" s="189"/>
      <c r="J143" s="189"/>
      <c r="K143" s="189"/>
      <c r="L143" s="0" t="str">
        <f aca="false">IF(C143="","TODO !","Merci !")</f>
        <v>Merci !</v>
      </c>
      <c r="M143" s="181"/>
      <c r="N143" s="181"/>
      <c r="O143" s="181"/>
      <c r="P143" s="181"/>
      <c r="S143" s="162"/>
      <c r="T143" s="162"/>
      <c r="U143" s="162"/>
      <c r="V143" s="162"/>
      <c r="Y143" s="182"/>
      <c r="Z143" s="182"/>
      <c r="AA143" s="182"/>
      <c r="AB143" s="182"/>
      <c r="AE143" s="183"/>
      <c r="AF143" s="184"/>
      <c r="AG143" s="62"/>
      <c r="AH143" s="185"/>
      <c r="AI143" s="185"/>
      <c r="AJ143" s="185"/>
      <c r="AK143" s="185"/>
      <c r="AL143" s="185"/>
      <c r="AM143" s="185"/>
      <c r="AN143" s="185"/>
      <c r="AO143" s="185"/>
      <c r="AP143" s="185"/>
      <c r="AQ143" s="185"/>
      <c r="AR143" s="185"/>
      <c r="AS143" s="185"/>
      <c r="AT143" s="185"/>
      <c r="AU143" s="185"/>
      <c r="AV143" s="185"/>
      <c r="AW143" s="185"/>
    </row>
    <row r="144" customFormat="false" ht="13.2" hidden="false" customHeight="false" outlineLevel="0" collapsed="false">
      <c r="B144" s="191" t="s">
        <v>141</v>
      </c>
      <c r="C144" s="192" t="s">
        <v>146</v>
      </c>
      <c r="D144" s="192"/>
      <c r="E144" s="192"/>
      <c r="F144" s="192"/>
      <c r="G144" s="192"/>
      <c r="H144" s="192"/>
      <c r="I144" s="192"/>
      <c r="J144" s="192"/>
      <c r="K144" s="192"/>
      <c r="L144" s="0" t="str">
        <f aca="false">IF(C144="","TODO !","Merci !")</f>
        <v>Merci !</v>
      </c>
      <c r="M144" s="181"/>
      <c r="N144" s="181"/>
      <c r="O144" s="181"/>
      <c r="P144" s="181"/>
      <c r="S144" s="162"/>
      <c r="T144" s="162"/>
      <c r="U144" s="162"/>
      <c r="V144" s="162"/>
      <c r="Y144" s="182"/>
      <c r="Z144" s="182"/>
      <c r="AA144" s="182"/>
      <c r="AB144" s="182"/>
      <c r="AE144" s="183"/>
      <c r="AF144" s="184"/>
      <c r="AG144" s="62"/>
      <c r="AH144" s="185"/>
      <c r="AI144" s="185"/>
      <c r="AJ144" s="185"/>
      <c r="AK144" s="185"/>
      <c r="AL144" s="185"/>
      <c r="AM144" s="185"/>
      <c r="AN144" s="185"/>
      <c r="AO144" s="185"/>
      <c r="AP144" s="185"/>
      <c r="AQ144" s="185"/>
      <c r="AR144" s="185"/>
      <c r="AS144" s="185"/>
      <c r="AT144" s="185"/>
      <c r="AU144" s="185"/>
      <c r="AV144" s="185"/>
      <c r="AW144" s="185"/>
    </row>
    <row r="145" customFormat="false" ht="13.8" hidden="false" customHeight="false" outlineLevel="0" collapsed="false">
      <c r="B145" s="194" t="s">
        <v>144</v>
      </c>
      <c r="C145" s="195" t="n">
        <v>26</v>
      </c>
      <c r="D145" s="195"/>
      <c r="E145" s="195"/>
      <c r="F145" s="195"/>
      <c r="G145" s="195"/>
      <c r="H145" s="195"/>
      <c r="I145" s="195"/>
      <c r="J145" s="195"/>
      <c r="K145" s="195"/>
      <c r="L145" s="0" t="str">
        <f aca="false">IF(C145="","TODO !","Merci !")</f>
        <v>Merci !</v>
      </c>
      <c r="M145" s="181"/>
      <c r="N145" s="181"/>
      <c r="O145" s="181"/>
      <c r="P145" s="181"/>
      <c r="S145" s="162"/>
      <c r="T145" s="162"/>
      <c r="U145" s="162"/>
      <c r="V145" s="162"/>
      <c r="Y145" s="182"/>
      <c r="Z145" s="182"/>
      <c r="AA145" s="182"/>
      <c r="AB145" s="182"/>
      <c r="AE145" s="183"/>
      <c r="AF145" s="184"/>
      <c r="AG145" s="62"/>
      <c r="AH145" s="185"/>
      <c r="AI145" s="185"/>
      <c r="AJ145" s="185"/>
      <c r="AK145" s="185"/>
      <c r="AL145" s="185"/>
      <c r="AM145" s="185"/>
      <c r="AN145" s="185"/>
      <c r="AO145" s="185"/>
      <c r="AP145" s="185"/>
      <c r="AQ145" s="185"/>
      <c r="AR145" s="185"/>
      <c r="AS145" s="185"/>
      <c r="AT145" s="185"/>
      <c r="AU145" s="185"/>
      <c r="AV145" s="185"/>
      <c r="AW145" s="185"/>
    </row>
    <row r="146" customFormat="false" ht="13.2" hidden="false" customHeight="false" outlineLevel="0" collapsed="false">
      <c r="B146" s="135" t="s">
        <v>147</v>
      </c>
      <c r="C146" s="135"/>
      <c r="D146" s="135"/>
      <c r="E146" s="135"/>
      <c r="F146" s="135"/>
      <c r="G146" s="135"/>
      <c r="H146" s="135"/>
      <c r="I146" s="135"/>
      <c r="J146" s="135"/>
      <c r="K146" s="135"/>
      <c r="M146" s="135" t="str">
        <f aca="false">IF(M142&gt;0.5,"max 0.5","")</f>
        <v/>
      </c>
      <c r="N146" s="135"/>
      <c r="O146" s="135"/>
      <c r="P146" s="135"/>
    </row>
    <row r="147" customFormat="false" ht="13.8" hidden="false" customHeight="false" outlineLevel="0" collapsed="false"/>
    <row r="148" customFormat="false" ht="13.2" hidden="false" customHeight="false" outlineLevel="0" collapsed="false">
      <c r="B148" s="180" t="s">
        <v>135</v>
      </c>
      <c r="C148" s="40" t="s">
        <v>148</v>
      </c>
      <c r="D148" s="40"/>
      <c r="E148" s="40"/>
      <c r="F148" s="40"/>
      <c r="G148" s="40"/>
      <c r="H148" s="40"/>
      <c r="I148" s="40"/>
      <c r="J148" s="40"/>
      <c r="K148" s="40"/>
      <c r="L148" s="0" t="str">
        <f aca="false">IF(C148="","TODO !","Merci !")</f>
        <v>Merci !</v>
      </c>
      <c r="M148" s="181"/>
      <c r="N148" s="181"/>
      <c r="O148" s="181"/>
      <c r="P148" s="181"/>
      <c r="S148" s="162" t="n">
        <f aca="false">G127+IF(M148&lt;&gt;"",MIN(M148,0.5),0)</f>
        <v>6</v>
      </c>
      <c r="T148" s="162"/>
      <c r="U148" s="162"/>
      <c r="V148" s="162"/>
      <c r="Y148" s="182" t="n">
        <f aca="false">MAX(1,MIN(S148,6))</f>
        <v>6</v>
      </c>
      <c r="Z148" s="182"/>
      <c r="AA148" s="182"/>
      <c r="AB148" s="182"/>
      <c r="AE148" s="183"/>
      <c r="AF148" s="184" t="str">
        <f aca="false">IF(AND(M148&lt;&gt;0,AE148=""),"TODO ! Justifiier Bonus/malus !","")</f>
        <v/>
      </c>
      <c r="AG148" s="62"/>
      <c r="AH148" s="185"/>
      <c r="AI148" s="185"/>
      <c r="AJ148" s="185"/>
      <c r="AK148" s="185"/>
      <c r="AL148" s="185"/>
      <c r="AM148" s="185"/>
      <c r="AN148" s="185"/>
      <c r="AO148" s="185"/>
      <c r="AP148" s="185"/>
      <c r="AQ148" s="185"/>
      <c r="AR148" s="185"/>
      <c r="AS148" s="185"/>
      <c r="AT148" s="185"/>
      <c r="AU148" s="185"/>
      <c r="AV148" s="185"/>
      <c r="AW148" s="185"/>
      <c r="AX148" s="5"/>
    </row>
    <row r="149" customFormat="false" ht="13.2" hidden="false" customHeight="false" outlineLevel="0" collapsed="false">
      <c r="B149" s="188" t="s">
        <v>138</v>
      </c>
      <c r="C149" s="189" t="s">
        <v>148</v>
      </c>
      <c r="D149" s="189"/>
      <c r="E149" s="189"/>
      <c r="F149" s="189"/>
      <c r="G149" s="189"/>
      <c r="H149" s="189"/>
      <c r="I149" s="189"/>
      <c r="J149" s="189"/>
      <c r="K149" s="189"/>
      <c r="L149" s="0" t="str">
        <f aca="false">IF(C149="","TODO !","Merci !")</f>
        <v>Merci !</v>
      </c>
      <c r="M149" s="181"/>
      <c r="N149" s="181"/>
      <c r="O149" s="181"/>
      <c r="P149" s="181"/>
      <c r="S149" s="162"/>
      <c r="T149" s="162"/>
      <c r="U149" s="162"/>
      <c r="V149" s="162"/>
      <c r="Y149" s="182"/>
      <c r="Z149" s="182"/>
      <c r="AA149" s="182"/>
      <c r="AB149" s="182"/>
      <c r="AE149" s="183"/>
      <c r="AF149" s="184"/>
      <c r="AG149" s="62"/>
      <c r="AH149" s="185"/>
      <c r="AI149" s="185"/>
      <c r="AJ149" s="185"/>
      <c r="AK149" s="185"/>
      <c r="AL149" s="185"/>
      <c r="AM149" s="185"/>
      <c r="AN149" s="185"/>
      <c r="AO149" s="185"/>
      <c r="AP149" s="185"/>
      <c r="AQ149" s="185"/>
      <c r="AR149" s="185"/>
      <c r="AS149" s="185"/>
      <c r="AT149" s="185"/>
      <c r="AU149" s="185"/>
      <c r="AV149" s="185"/>
      <c r="AW149" s="185"/>
    </row>
    <row r="150" customFormat="false" ht="13.2" hidden="false" customHeight="false" outlineLevel="0" collapsed="false">
      <c r="B150" s="191" t="s">
        <v>141</v>
      </c>
      <c r="C150" s="189" t="s">
        <v>148</v>
      </c>
      <c r="D150" s="189"/>
      <c r="E150" s="189"/>
      <c r="F150" s="189"/>
      <c r="G150" s="189"/>
      <c r="H150" s="189"/>
      <c r="I150" s="189"/>
      <c r="J150" s="189"/>
      <c r="K150" s="189"/>
      <c r="L150" s="0" t="str">
        <f aca="false">IF(C150="","TODO !","Merci !")</f>
        <v>Merci !</v>
      </c>
      <c r="M150" s="181"/>
      <c r="N150" s="181"/>
      <c r="O150" s="181"/>
      <c r="P150" s="181"/>
      <c r="S150" s="162"/>
      <c r="T150" s="162"/>
      <c r="U150" s="162"/>
      <c r="V150" s="162"/>
      <c r="Y150" s="182"/>
      <c r="Z150" s="182"/>
      <c r="AA150" s="182"/>
      <c r="AB150" s="182"/>
      <c r="AE150" s="183"/>
      <c r="AF150" s="184"/>
      <c r="AG150" s="62"/>
      <c r="AH150" s="185"/>
      <c r="AI150" s="185"/>
      <c r="AJ150" s="185"/>
      <c r="AK150" s="185"/>
      <c r="AL150" s="185"/>
      <c r="AM150" s="185"/>
      <c r="AN150" s="185"/>
      <c r="AO150" s="185"/>
      <c r="AP150" s="185"/>
      <c r="AQ150" s="185"/>
      <c r="AR150" s="185"/>
      <c r="AS150" s="185"/>
      <c r="AT150" s="185"/>
      <c r="AU150" s="185"/>
      <c r="AV150" s="185"/>
      <c r="AW150" s="185"/>
    </row>
    <row r="151" customFormat="false" ht="13.8" hidden="false" customHeight="false" outlineLevel="0" collapsed="false">
      <c r="B151" s="194" t="s">
        <v>144</v>
      </c>
      <c r="C151" s="195" t="s">
        <v>148</v>
      </c>
      <c r="D151" s="195"/>
      <c r="E151" s="195"/>
      <c r="F151" s="195"/>
      <c r="G151" s="195"/>
      <c r="H151" s="195"/>
      <c r="I151" s="195"/>
      <c r="J151" s="195"/>
      <c r="K151" s="195"/>
      <c r="L151" s="0" t="str">
        <f aca="false">IF(C151="","TODO !","Merci !")</f>
        <v>Merci !</v>
      </c>
      <c r="M151" s="181"/>
      <c r="N151" s="181"/>
      <c r="O151" s="181"/>
      <c r="P151" s="181"/>
      <c r="S151" s="162"/>
      <c r="T151" s="162"/>
      <c r="U151" s="162"/>
      <c r="V151" s="162"/>
      <c r="Y151" s="182"/>
      <c r="Z151" s="182"/>
      <c r="AA151" s="182"/>
      <c r="AB151" s="182"/>
      <c r="AE151" s="183"/>
      <c r="AF151" s="184"/>
      <c r="AG151" s="62"/>
      <c r="AH151" s="185"/>
      <c r="AI151" s="185"/>
      <c r="AJ151" s="185"/>
      <c r="AK151" s="185"/>
      <c r="AL151" s="185"/>
      <c r="AM151" s="185"/>
      <c r="AN151" s="185"/>
      <c r="AO151" s="185"/>
      <c r="AP151" s="185"/>
      <c r="AQ151" s="185"/>
      <c r="AR151" s="185"/>
      <c r="AS151" s="185"/>
      <c r="AT151" s="185"/>
      <c r="AU151" s="185"/>
      <c r="AV151" s="185"/>
      <c r="AW151" s="185"/>
    </row>
    <row r="152" customFormat="false" ht="13.2" hidden="false" customHeight="false" outlineLevel="0" collapsed="false">
      <c r="B152" s="135" t="s">
        <v>147</v>
      </c>
      <c r="C152" s="135"/>
      <c r="D152" s="135"/>
      <c r="E152" s="135"/>
      <c r="F152" s="135"/>
      <c r="G152" s="135"/>
      <c r="H152" s="135"/>
      <c r="I152" s="135"/>
      <c r="J152" s="135"/>
      <c r="K152" s="135"/>
      <c r="M152" s="135" t="str">
        <f aca="false">IF(M148&gt;0.5,"max 0.5","")</f>
        <v/>
      </c>
      <c r="N152" s="135"/>
      <c r="O152" s="135"/>
      <c r="P152" s="135"/>
    </row>
    <row r="154" customFormat="false" ht="13.2" hidden="false" customHeight="false" outlineLevel="0" collapsed="false">
      <c r="B154" s="196" t="s">
        <v>149</v>
      </c>
      <c r="C154" s="196"/>
      <c r="D154" s="196"/>
      <c r="E154" s="196"/>
      <c r="F154" s="196"/>
      <c r="G154" s="196"/>
      <c r="H154" s="196"/>
      <c r="I154" s="196"/>
      <c r="J154" s="196"/>
      <c r="K154" s="196"/>
      <c r="M154" s="197"/>
      <c r="N154" s="197"/>
      <c r="O154" s="197"/>
      <c r="P154" s="197"/>
    </row>
    <row r="155" customFormat="false" ht="13.2" hidden="false" customHeight="false" outlineLevel="0" collapsed="false">
      <c r="B155" s="194" t="s">
        <v>144</v>
      </c>
      <c r="C155" s="198" t="n">
        <v>27</v>
      </c>
      <c r="D155" s="198"/>
      <c r="E155" s="198"/>
      <c r="F155" s="198"/>
      <c r="G155" s="198"/>
      <c r="H155" s="198"/>
      <c r="I155" s="198"/>
      <c r="J155" s="198"/>
      <c r="K155" s="198"/>
      <c r="L155" s="0" t="str">
        <f aca="false">IF(C155="","TODO !","Merci !")</f>
        <v>Merci !</v>
      </c>
      <c r="M155" s="38" t="s">
        <v>150</v>
      </c>
      <c r="N155" s="39"/>
      <c r="O155" s="39"/>
      <c r="P155" s="92"/>
      <c r="Q155" s="21"/>
    </row>
    <row r="156" customFormat="false" ht="13.2" hidden="false" customHeight="false" outlineLevel="0" collapsed="false">
      <c r="M156" s="82"/>
      <c r="N156" s="34" t="s">
        <v>151</v>
      </c>
      <c r="O156" s="34"/>
      <c r="P156" s="93"/>
      <c r="Q156" s="21" t="s">
        <v>152</v>
      </c>
    </row>
    <row r="157" customFormat="false" ht="13.2" hidden="false" customHeight="false" outlineLevel="0" collapsed="false">
      <c r="M157" s="82"/>
      <c r="N157" s="34" t="s">
        <v>153</v>
      </c>
      <c r="O157" s="34"/>
      <c r="P157" s="93"/>
      <c r="Q157" s="21" t="s">
        <v>154</v>
      </c>
    </row>
    <row r="158" customFormat="false" ht="13.2" hidden="false" customHeight="false" outlineLevel="0" collapsed="false">
      <c r="M158" s="82" t="s">
        <v>155</v>
      </c>
      <c r="N158" s="34"/>
      <c r="O158" s="34"/>
      <c r="P158" s="93"/>
      <c r="Q158" s="21" t="s">
        <v>154</v>
      </c>
    </row>
    <row r="159" customFormat="false" ht="13.2" hidden="false" customHeight="false" outlineLevel="0" collapsed="false">
      <c r="M159" s="82" t="s">
        <v>156</v>
      </c>
      <c r="N159" s="34"/>
      <c r="O159" s="34"/>
      <c r="P159" s="93"/>
      <c r="Q159" s="21" t="s">
        <v>152</v>
      </c>
    </row>
    <row r="160" customFormat="false" ht="13.2" hidden="false" customHeight="false" outlineLevel="0" collapsed="false">
      <c r="M160" s="82" t="s">
        <v>157</v>
      </c>
      <c r="P160" s="96"/>
      <c r="Q160" s="21" t="s">
        <v>152</v>
      </c>
    </row>
    <row r="161" customFormat="false" ht="13.2" hidden="false" customHeight="false" outlineLevel="0" collapsed="false">
      <c r="M161" s="55" t="s">
        <v>158</v>
      </c>
      <c r="N161" s="132"/>
      <c r="O161" s="132"/>
      <c r="P161" s="199"/>
      <c r="Q161" s="21" t="s">
        <v>154</v>
      </c>
    </row>
  </sheetData>
  <mergeCells count="154">
    <mergeCell ref="G2:J2"/>
    <mergeCell ref="N2:P2"/>
    <mergeCell ref="B3:E3"/>
    <mergeCell ref="G3:J3"/>
    <mergeCell ref="L3:L4"/>
    <mergeCell ref="N3:O3"/>
    <mergeCell ref="P3:P4"/>
    <mergeCell ref="R3:S4"/>
    <mergeCell ref="U3:U4"/>
    <mergeCell ref="V3:V4"/>
    <mergeCell ref="Y3:Y4"/>
    <mergeCell ref="AA3:AA4"/>
    <mergeCell ref="AC3:AC4"/>
    <mergeCell ref="AE3:AE4"/>
    <mergeCell ref="AI3:AT3"/>
    <mergeCell ref="AV3:AW3"/>
    <mergeCell ref="B4:E4"/>
    <mergeCell ref="B6:B7"/>
    <mergeCell ref="S6:S7"/>
    <mergeCell ref="AG6:AG7"/>
    <mergeCell ref="AV6:AV7"/>
    <mergeCell ref="AW6:AW7"/>
    <mergeCell ref="B10:B17"/>
    <mergeCell ref="E10:E13"/>
    <mergeCell ref="S10:S17"/>
    <mergeCell ref="AG10:AG17"/>
    <mergeCell ref="AV10:AV17"/>
    <mergeCell ref="AW10:AW17"/>
    <mergeCell ref="E15:E17"/>
    <mergeCell ref="B20:B29"/>
    <mergeCell ref="E20:E23"/>
    <mergeCell ref="S20:S29"/>
    <mergeCell ref="AG20:AG29"/>
    <mergeCell ref="AV20:AV29"/>
    <mergeCell ref="AW20:AW29"/>
    <mergeCell ref="E26:E29"/>
    <mergeCell ref="B32:B44"/>
    <mergeCell ref="S32:S44"/>
    <mergeCell ref="AG32:AG44"/>
    <mergeCell ref="AV32:AV44"/>
    <mergeCell ref="AW32:AW44"/>
    <mergeCell ref="B47:B53"/>
    <mergeCell ref="S47:S53"/>
    <mergeCell ref="AG47:AG53"/>
    <mergeCell ref="AV47:AV53"/>
    <mergeCell ref="AW47:AW53"/>
    <mergeCell ref="E51:E53"/>
    <mergeCell ref="B56:B70"/>
    <mergeCell ref="S56:S70"/>
    <mergeCell ref="AG56:AG70"/>
    <mergeCell ref="AV56:AV70"/>
    <mergeCell ref="AW56:AW70"/>
    <mergeCell ref="E64:E66"/>
    <mergeCell ref="E68:E70"/>
    <mergeCell ref="B73:B81"/>
    <mergeCell ref="S73:S81"/>
    <mergeCell ref="AG73:AG81"/>
    <mergeCell ref="AV73:AV81"/>
    <mergeCell ref="AW73:AW81"/>
    <mergeCell ref="AI77:AT77"/>
    <mergeCell ref="E78:E81"/>
    <mergeCell ref="B84:B90"/>
    <mergeCell ref="S84:S90"/>
    <mergeCell ref="AG84:AG90"/>
    <mergeCell ref="AV84:AV90"/>
    <mergeCell ref="AW84:AW90"/>
    <mergeCell ref="E88:E90"/>
    <mergeCell ref="B93:B100"/>
    <mergeCell ref="S93:S100"/>
    <mergeCell ref="AG93:AG100"/>
    <mergeCell ref="AV93:AV100"/>
    <mergeCell ref="AW93:AW100"/>
    <mergeCell ref="D101:E101"/>
    <mergeCell ref="B103:B108"/>
    <mergeCell ref="E103:E104"/>
    <mergeCell ref="S103:S108"/>
    <mergeCell ref="AG103:AG108"/>
    <mergeCell ref="AV103:AV108"/>
    <mergeCell ref="AW103:AW108"/>
    <mergeCell ref="E105:E108"/>
    <mergeCell ref="B111:B114"/>
    <mergeCell ref="S111:S114"/>
    <mergeCell ref="AG111:AG114"/>
    <mergeCell ref="AV111:AV114"/>
    <mergeCell ref="AW111:AW114"/>
    <mergeCell ref="B117:B124"/>
    <mergeCell ref="G117:J117"/>
    <mergeCell ref="S117:S124"/>
    <mergeCell ref="AG117:AG124"/>
    <mergeCell ref="AK117:AN117"/>
    <mergeCell ref="AV117:AV124"/>
    <mergeCell ref="AW117:AW124"/>
    <mergeCell ref="G118:J118"/>
    <mergeCell ref="AK118:AN118"/>
    <mergeCell ref="G119:J119"/>
    <mergeCell ref="AK119:AN119"/>
    <mergeCell ref="G120:J120"/>
    <mergeCell ref="AK120:AN120"/>
    <mergeCell ref="G121:J121"/>
    <mergeCell ref="AK121:AN121"/>
    <mergeCell ref="G122:J122"/>
    <mergeCell ref="AK122:AN122"/>
    <mergeCell ref="G123:J123"/>
    <mergeCell ref="AK123:AN123"/>
    <mergeCell ref="G124:J124"/>
    <mergeCell ref="AK124:AN124"/>
    <mergeCell ref="D127:E127"/>
    <mergeCell ref="G127:J127"/>
    <mergeCell ref="B132:L132"/>
    <mergeCell ref="M132:P132"/>
    <mergeCell ref="S132:V132"/>
    <mergeCell ref="Y132:AB132"/>
    <mergeCell ref="M133:P134"/>
    <mergeCell ref="S133:V134"/>
    <mergeCell ref="Y133:AB134"/>
    <mergeCell ref="AR135:AS135"/>
    <mergeCell ref="C136:K136"/>
    <mergeCell ref="M136:P139"/>
    <mergeCell ref="S136:V139"/>
    <mergeCell ref="Y136:AB139"/>
    <mergeCell ref="AE136:AE139"/>
    <mergeCell ref="AF136:AF139"/>
    <mergeCell ref="AR136:AS136"/>
    <mergeCell ref="C137:K137"/>
    <mergeCell ref="AR137:AT137"/>
    <mergeCell ref="C138:K138"/>
    <mergeCell ref="AR138:AT138"/>
    <mergeCell ref="C139:K139"/>
    <mergeCell ref="M140:P140"/>
    <mergeCell ref="C142:K142"/>
    <mergeCell ref="M142:P145"/>
    <mergeCell ref="S142:V145"/>
    <mergeCell ref="Y142:AB145"/>
    <mergeCell ref="AE142:AE145"/>
    <mergeCell ref="AF142:AF145"/>
    <mergeCell ref="C143:K143"/>
    <mergeCell ref="C144:K144"/>
    <mergeCell ref="C145:K145"/>
    <mergeCell ref="B146:K146"/>
    <mergeCell ref="M146:P146"/>
    <mergeCell ref="C148:K148"/>
    <mergeCell ref="M148:P151"/>
    <mergeCell ref="S148:V151"/>
    <mergeCell ref="Y148:AB151"/>
    <mergeCell ref="AE148:AE151"/>
    <mergeCell ref="AF148:AF151"/>
    <mergeCell ref="C149:K149"/>
    <mergeCell ref="C150:K150"/>
    <mergeCell ref="C151:K151"/>
    <mergeCell ref="B152:K152"/>
    <mergeCell ref="M152:P152"/>
    <mergeCell ref="B154:K154"/>
    <mergeCell ref="M154:P154"/>
    <mergeCell ref="C155:K155"/>
  </mergeCells>
  <conditionalFormatting sqref="K117:K125">
    <cfRule type="cellIs" priority="2" operator="equal" aboveAverage="0" equalAverage="0" bottom="0" percent="0" rank="0" text="" dxfId="0">
      <formula>"TODO!"</formula>
    </cfRule>
  </conditionalFormatting>
  <conditionalFormatting sqref="L136:L139 L142:L155 AF6:AF8 AF11:AF17 AF20:AF29 AF32:AF44 AF47:AF53 AF56:AF108 AF112:AF114 AF117:AF121 AF9:AG10 AF18:AG19 AF30:AG31 AF45:AG46 AF54:AG55 AF109:AG111 AF115:AG116 AG101:AG102">
    <cfRule type="containsText" priority="3" operator="containsText" aboveAverage="0" equalAverage="0" bottom="0" percent="0" rank="0" text="TODO" dxfId="0"/>
  </conditionalFormatting>
  <conditionalFormatting sqref="M140:P140">
    <cfRule type="cellIs" priority="4" operator="equal" aboveAverage="0" equalAverage="0" bottom="0" percent="0" rank="0" text="" dxfId="0">
      <formula>"max 0.5"</formula>
    </cfRule>
  </conditionalFormatting>
  <conditionalFormatting sqref="M146:P146">
    <cfRule type="cellIs" priority="5" operator="equal" aboveAverage="0" equalAverage="0" bottom="0" percent="0" rank="0" text="" dxfId="0">
      <formula>"max 0.5"</formula>
    </cfRule>
  </conditionalFormatting>
  <conditionalFormatting sqref="M152:P152">
    <cfRule type="cellIs" priority="6" operator="equal" aboveAverage="0" equalAverage="0" bottom="0" percent="0" rank="0" text="" dxfId="0">
      <formula>"max 0.5"</formula>
    </cfRule>
  </conditionalFormatting>
  <conditionalFormatting sqref="P11:P12">
    <cfRule type="cellIs" priority="7" operator="lessThan" aboveAverage="0" equalAverage="0" bottom="0" percent="0" rank="0" text="" dxfId="1">
      <formula>1</formula>
    </cfRule>
  </conditionalFormatting>
  <conditionalFormatting sqref="P21:P24">
    <cfRule type="cellIs" priority="8" operator="lessThan" aboveAverage="0" equalAverage="0" bottom="0" percent="0" rank="0" text="" dxfId="1">
      <formula>1</formula>
    </cfRule>
    <cfRule type="cellIs" priority="9" operator="lessThan" aboveAverage="0" equalAverage="0" bottom="0" percent="0" rank="0" text="" dxfId="2">
      <formula>0.5</formula>
    </cfRule>
    <cfRule type="cellIs" priority="10" operator="lessThan" aboveAverage="0" equalAverage="0" bottom="0" percent="0" rank="0" text="" dxfId="2">
      <formula>1</formula>
    </cfRule>
  </conditionalFormatting>
  <conditionalFormatting sqref="P48:P49">
    <cfRule type="cellIs" priority="11" operator="lessThan" aboveAverage="0" equalAverage="0" bottom="0" percent="0" rank="0" text="" dxfId="2">
      <formula>1</formula>
    </cfRule>
  </conditionalFormatting>
  <conditionalFormatting sqref="P52:P53">
    <cfRule type="cellIs" priority="12" operator="lessThan" aboveAverage="0" equalAverage="0" bottom="0" percent="0" rank="0" text="" dxfId="2">
      <formula>1</formula>
    </cfRule>
  </conditionalFormatting>
  <conditionalFormatting sqref="P57:P58">
    <cfRule type="cellIs" priority="13" operator="lessThan" aboveAverage="0" equalAverage="0" bottom="0" percent="0" rank="0" text="" dxfId="2">
      <formula>1</formula>
    </cfRule>
  </conditionalFormatting>
  <conditionalFormatting sqref="P61:P62">
    <cfRule type="cellIs" priority="14" operator="lessThan" aboveAverage="0" equalAverage="0" bottom="0" percent="0" rank="0" text="" dxfId="3">
      <formula>1</formula>
    </cfRule>
  </conditionalFormatting>
  <conditionalFormatting sqref="P85:P86">
    <cfRule type="cellIs" priority="15" operator="lessThan" aboveAverage="0" equalAverage="0" bottom="0" percent="0" rank="0" text="" dxfId="3">
      <formula>1</formula>
    </cfRule>
  </conditionalFormatting>
  <conditionalFormatting sqref="P93:P100">
    <cfRule type="cellIs" priority="16" operator="lessThan" aboveAverage="0" equalAverage="0" bottom="0" percent="0" rank="0" text="" dxfId="4">
      <formula>1</formula>
    </cfRule>
  </conditionalFormatting>
  <conditionalFormatting sqref="AF136:AQ136 AF142:AW142 AF148:AW148 AH137:AR138 AH139:AW139 AH143:AW145 AH149:AW151 AU136:AW138">
    <cfRule type="cellIs" priority="17" operator="equal" aboveAverage="0" equalAverage="0" bottom="0" percent="0" rank="0" text="" dxfId="4">
      <formula>"TODO ! Justifiier Bonus/malus !"</formula>
    </cfRule>
  </conditionalFormatting>
  <conditionalFormatting sqref="AG117">
    <cfRule type="containsText" priority="18" operator="containsText" aboveAverage="0" equalAverage="0" bottom="0" percent="0" rank="0" text="TODO" dxfId="4"/>
  </conditionalFormatting>
  <conditionalFormatting sqref="AI3:AI4">
    <cfRule type="cellIs" priority="19" operator="equal" aboveAverage="0" equalAverage="0" bottom="0" percent="0" rank="0" text="" dxfId="5">
      <formula>1</formula>
    </cfRule>
  </conditionalFormatting>
  <conditionalFormatting sqref="AK4:AT4 AR137">
    <cfRule type="cellIs" priority="20" operator="equal" aboveAverage="0" equalAverage="0" bottom="0" percent="0" rank="0" text="" dxfId="6">
      <formula>1</formula>
    </cfRule>
  </conditionalFormatting>
  <conditionalFormatting sqref="AV4:AW4">
    <cfRule type="cellIs" priority="21" operator="equal" aboveAverage="0" equalAverage="0" bottom="0" percent="0" rank="0" text="" dxfId="7">
      <formula>1</formula>
    </cfRule>
  </conditionalFormatting>
  <hyperlinks>
    <hyperlink ref="C138" r:id="rId1" display="guillaume.mouchet@he-arc.ch"/>
    <hyperlink ref="C144" r:id="rId2" display="benjamin.mouchet@he-arc.ch"/>
  </hyperlinks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AX161"/>
  <sheetViews>
    <sheetView showFormulas="false" showGridLines="true" showRowColHeaders="true" showZeros="true" rightToLeft="false" tabSelected="false" showOutlineSymbols="true" defaultGridColor="true" view="normal" topLeftCell="A128" colorId="64" zoomScale="100" zoomScaleNormal="100" zoomScalePageLayoutView="100" workbookViewId="0">
      <selection pane="topLeft" activeCell="U25" activeCellId="0" sqref="U25"/>
    </sheetView>
  </sheetViews>
  <sheetFormatPr defaultRowHeight="13.2" zeroHeight="false" outlineLevelRow="1" outlineLevelCol="1"/>
  <cols>
    <col collapsed="false" customWidth="true" hidden="false" outlineLevel="0" max="1" min="1" style="0" width="3.98"/>
    <col collapsed="false" customWidth="true" hidden="false" outlineLevel="0" max="2" min="2" style="0" width="20.64"/>
    <col collapsed="false" customWidth="true" hidden="false" outlineLevel="0" max="3" min="3" style="0" width="12.44"/>
    <col collapsed="false" customWidth="true" hidden="false" outlineLevel="0" max="4" min="4" style="0" width="9"/>
    <col collapsed="false" customWidth="true" hidden="false" outlineLevel="0" max="5" min="5" style="0" width="9.56"/>
    <col collapsed="false" customWidth="true" hidden="false" outlineLevel="0" max="6" min="6" style="0" width="4.89"/>
    <col collapsed="false" customWidth="true" hidden="false" outlineLevel="0" max="10" min="7" style="0" width="3.64"/>
    <col collapsed="false" customWidth="true" hidden="false" outlineLevel="0" max="11" min="11" style="0" width="7.11"/>
    <col collapsed="false" customWidth="true" hidden="false" outlineLevel="0" max="13" min="12" style="0" width="8"/>
    <col collapsed="false" customWidth="true" hidden="false" outlineLevel="0" max="14" min="14" style="0" width="8.89"/>
    <col collapsed="false" customWidth="true" hidden="false" outlineLevel="0" max="15" min="15" style="0" width="5.01"/>
    <col collapsed="false" customWidth="true" hidden="false" outlineLevel="0" max="16" min="16" style="0" width="11.11"/>
    <col collapsed="false" customWidth="true" hidden="false" outlineLevel="0" max="17" min="17" style="0" width="3.64"/>
    <col collapsed="false" customWidth="true" hidden="false" outlineLevel="0" max="19" min="18" style="0" width="5.1"/>
    <col collapsed="false" customWidth="true" hidden="false" outlineLevel="0" max="21" min="20" style="0" width="3.98"/>
    <col collapsed="false" customWidth="true" hidden="false" outlineLevel="0" max="22" min="22" style="0" width="4.66"/>
    <col collapsed="false" customWidth="true" hidden="false" outlineLevel="0" max="23" min="23" style="0" width="5.66"/>
    <col collapsed="false" customWidth="true" hidden="false" outlineLevel="0" max="24" min="24" style="0" width="2.12"/>
    <col collapsed="false" customWidth="true" hidden="false" outlineLevel="0" max="25" min="25" style="0" width="5.1"/>
    <col collapsed="false" customWidth="true" hidden="false" outlineLevel="0" max="26" min="26" style="0" width="2.99"/>
    <col collapsed="false" customWidth="true" hidden="false" outlineLevel="0" max="27" min="27" style="0" width="4.1"/>
    <col collapsed="false" customWidth="true" hidden="false" outlineLevel="0" max="28" min="28" style="0" width="2.99"/>
    <col collapsed="false" customWidth="true" hidden="false" outlineLevel="0" max="29" min="29" style="0" width="7.34"/>
    <col collapsed="false" customWidth="true" hidden="false" outlineLevel="0" max="30" min="30" style="0" width="5.55"/>
    <col collapsed="false" customWidth="true" hidden="false" outlineLevel="0" max="31" min="31" style="0" width="68.13"/>
    <col collapsed="false" customWidth="true" hidden="false" outlineLevel="0" max="32" min="32" style="0" width="7.11"/>
    <col collapsed="false" customWidth="true" hidden="false" outlineLevel="0" max="33" min="33" style="0" width="3.11"/>
    <col collapsed="false" customWidth="true" hidden="true" outlineLevel="1" max="34" min="34" style="0" width="5.66"/>
    <col collapsed="false" customWidth="true" hidden="true" outlineLevel="1" max="35" min="35" style="0" width="11.89"/>
    <col collapsed="false" customWidth="true" hidden="true" outlineLevel="1" max="36" min="36" style="0" width="4.1"/>
    <col collapsed="false" customWidth="true" hidden="true" outlineLevel="1" max="37" min="37" style="0" width="3.89"/>
    <col collapsed="false" customWidth="true" hidden="true" outlineLevel="1" max="41" min="38" style="0" width="3.64"/>
    <col collapsed="false" customWidth="true" hidden="true" outlineLevel="1" max="42" min="42" style="0" width="5.43"/>
    <col collapsed="false" customWidth="true" hidden="true" outlineLevel="1" max="43" min="43" style="0" width="5.55"/>
    <col collapsed="false" customWidth="true" hidden="true" outlineLevel="1" max="44" min="44" style="0" width="15"/>
    <col collapsed="false" customWidth="true" hidden="true" outlineLevel="1" max="45" min="45" style="0" width="5.43"/>
    <col collapsed="false" customWidth="true" hidden="true" outlineLevel="1" max="46" min="46" style="0" width="11.99"/>
    <col collapsed="false" customWidth="true" hidden="true" outlineLevel="1" max="47" min="47" style="0" width="11.45"/>
    <col collapsed="false" customWidth="true" hidden="true" outlineLevel="1" max="48" min="48" style="0" width="15.11"/>
    <col collapsed="false" customWidth="true" hidden="true" outlineLevel="1" max="49" min="49" style="0" width="9.44"/>
    <col collapsed="false" customWidth="true" hidden="false" outlineLevel="0" max="1025" min="50" style="0" width="11.45"/>
  </cols>
  <sheetData>
    <row r="2" customFormat="false" ht="11.25" hidden="false" customHeight="true" outlineLevel="0" collapsed="false">
      <c r="G2" s="1"/>
      <c r="H2" s="1"/>
      <c r="I2" s="1"/>
      <c r="J2" s="1"/>
      <c r="K2" s="2"/>
      <c r="L2" s="3"/>
      <c r="Q2" s="2"/>
      <c r="W2" s="3"/>
      <c r="X2" s="3"/>
      <c r="AB2" s="3"/>
      <c r="AC2" s="3"/>
      <c r="AK2" s="5"/>
      <c r="AL2" s="5"/>
      <c r="AM2" s="5"/>
      <c r="AN2" s="5"/>
      <c r="AO2" s="5"/>
      <c r="AP2" s="5"/>
      <c r="AQ2" s="5"/>
      <c r="AR2" s="5"/>
      <c r="AS2" s="5"/>
      <c r="AT2" s="5"/>
    </row>
    <row r="3" customFormat="false" ht="126.75" hidden="false" customHeight="true" outlineLevel="0" collapsed="false">
      <c r="B3" s="200" t="s">
        <v>159</v>
      </c>
      <c r="C3" s="200"/>
      <c r="D3" s="200"/>
      <c r="E3" s="200"/>
      <c r="F3" s="7"/>
      <c r="G3" s="8" t="s">
        <v>2</v>
      </c>
      <c r="H3" s="8"/>
      <c r="I3" s="8"/>
      <c r="J3" s="8"/>
      <c r="K3" s="9"/>
      <c r="L3" s="10"/>
      <c r="Q3" s="9"/>
      <c r="R3" s="12" t="s">
        <v>4</v>
      </c>
      <c r="S3" s="12"/>
      <c r="U3" s="12" t="s">
        <v>5</v>
      </c>
      <c r="V3" s="12" t="s">
        <v>6</v>
      </c>
      <c r="W3" s="3"/>
      <c r="X3" s="3"/>
      <c r="Y3" s="12" t="s">
        <v>7</v>
      </c>
      <c r="Z3" s="13"/>
      <c r="AA3" s="201" t="s">
        <v>8</v>
      </c>
      <c r="AB3" s="15"/>
      <c r="AC3" s="202" t="s">
        <v>9</v>
      </c>
      <c r="AD3" s="13"/>
      <c r="AE3" s="16" t="s">
        <v>160</v>
      </c>
      <c r="AF3" s="17"/>
      <c r="AG3" s="17"/>
      <c r="AH3" s="13"/>
      <c r="AI3" s="18" t="s">
        <v>11</v>
      </c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V3" s="19" t="s">
        <v>12</v>
      </c>
      <c r="AW3" s="19"/>
    </row>
    <row r="4" customFormat="false" ht="21.75" hidden="false" customHeight="true" outlineLevel="0" collapsed="false">
      <c r="B4" s="7"/>
      <c r="C4" s="203"/>
      <c r="D4" s="203"/>
      <c r="E4" s="21"/>
      <c r="F4" s="21"/>
      <c r="G4" s="22" t="n">
        <v>0</v>
      </c>
      <c r="H4" s="22" t="n">
        <v>1</v>
      </c>
      <c r="I4" s="22" t="n">
        <v>2</v>
      </c>
      <c r="J4" s="22" t="n">
        <v>3</v>
      </c>
      <c r="K4" s="23"/>
      <c r="L4" s="10"/>
      <c r="Q4" s="23"/>
      <c r="R4" s="12"/>
      <c r="S4" s="12"/>
      <c r="U4" s="12" t="s">
        <v>6</v>
      </c>
      <c r="V4" s="12" t="s">
        <v>6</v>
      </c>
      <c r="W4" s="26"/>
      <c r="Y4" s="12" t="s">
        <v>14</v>
      </c>
      <c r="Z4" s="27"/>
      <c r="AA4" s="201"/>
      <c r="AB4" s="15"/>
      <c r="AC4" s="202"/>
      <c r="AD4" s="27"/>
      <c r="AE4" s="16"/>
      <c r="AF4" s="28"/>
      <c r="AG4" s="28"/>
      <c r="AH4" s="27"/>
      <c r="AI4" s="29" t="s">
        <v>15</v>
      </c>
      <c r="AJ4" s="27"/>
      <c r="AK4" s="30" t="n">
        <v>0</v>
      </c>
      <c r="AL4" s="30" t="n">
        <v>1</v>
      </c>
      <c r="AM4" s="30" t="n">
        <v>2</v>
      </c>
      <c r="AN4" s="30" t="n">
        <v>3</v>
      </c>
      <c r="AO4" s="2"/>
      <c r="AP4" s="29" t="s">
        <v>16</v>
      </c>
      <c r="AQ4" s="29" t="s">
        <v>17</v>
      </c>
      <c r="AR4" s="31" t="s">
        <v>18</v>
      </c>
      <c r="AS4" s="32"/>
      <c r="AT4" s="33" t="s">
        <v>19</v>
      </c>
      <c r="AV4" s="31" t="s">
        <v>18</v>
      </c>
      <c r="AW4" s="33" t="s">
        <v>19</v>
      </c>
    </row>
    <row r="5" customFormat="false" ht="12.75" hidden="false" customHeight="true" outlineLevel="0" collapsed="false">
      <c r="C5" s="34"/>
      <c r="D5" s="34"/>
      <c r="E5" s="34"/>
      <c r="F5" s="34"/>
      <c r="G5" s="35"/>
      <c r="H5" s="35"/>
      <c r="I5" s="35"/>
      <c r="J5" s="35"/>
      <c r="K5" s="35"/>
      <c r="L5" s="35"/>
      <c r="Q5" s="35"/>
      <c r="R5" s="36"/>
      <c r="S5" s="36"/>
      <c r="V5" s="2"/>
      <c r="W5" s="26"/>
      <c r="X5" s="26"/>
      <c r="AH5" s="2"/>
      <c r="AI5" s="2"/>
      <c r="AJ5" s="2"/>
    </row>
    <row r="6" customFormat="false" ht="12.75" hidden="false" customHeight="true" outlineLevel="0" collapsed="false">
      <c r="B6" s="37" t="s">
        <v>20</v>
      </c>
      <c r="C6" s="38" t="s">
        <v>20</v>
      </c>
      <c r="D6" s="39"/>
      <c r="E6" s="40" t="s">
        <v>21</v>
      </c>
      <c r="F6" s="34"/>
      <c r="G6" s="41"/>
      <c r="H6" s="41"/>
      <c r="I6" s="42"/>
      <c r="J6" s="41"/>
      <c r="K6" s="43"/>
      <c r="L6" s="43"/>
      <c r="Q6" s="43"/>
      <c r="R6" s="47" t="n">
        <v>4</v>
      </c>
      <c r="S6" s="8" t="n">
        <f aca="false">SUM(R6:R7)</f>
        <v>8</v>
      </c>
      <c r="U6" s="48" t="n">
        <v>1</v>
      </c>
      <c r="V6" s="48" t="n">
        <v>1</v>
      </c>
      <c r="W6" s="26" t="str">
        <f aca="false">IF(AND(U6=1,V6=0),"Bonus","")</f>
        <v/>
      </c>
      <c r="X6" s="26"/>
      <c r="Y6" s="49" t="str">
        <f aca="false">IF(U6=1,AR6,"")</f>
        <v/>
      </c>
      <c r="Z6" s="50"/>
      <c r="AA6" s="204"/>
      <c r="AB6" s="50"/>
      <c r="AC6" s="150" t="e">
        <f aca="false">IF(Y6&lt;&gt;ByStudent!Y6,Y6-ByStudent!Y6,0)</f>
        <v>#VALUE!</v>
      </c>
      <c r="AD6" s="50"/>
      <c r="AE6" s="205"/>
      <c r="AF6" s="0" t="e">
        <f aca="false">IF(AND(AC6&lt;0,AE6=""),"TODO !","")</f>
        <v>#VALUE!</v>
      </c>
      <c r="AG6" s="53" t="s">
        <v>25</v>
      </c>
      <c r="AH6" s="2"/>
      <c r="AI6" s="48" t="n">
        <f aca="false">U6*V6*R6</f>
        <v>4</v>
      </c>
      <c r="AJ6" s="2"/>
      <c r="AK6" s="48" t="str">
        <f aca="false">IF(G6="x",AK$4,"")</f>
        <v/>
      </c>
      <c r="AL6" s="48" t="str">
        <f aca="false">IF(H6="x",AL$4,"")</f>
        <v/>
      </c>
      <c r="AM6" s="48" t="str">
        <f aca="false">IF(I6="x",AM$4,"")</f>
        <v/>
      </c>
      <c r="AN6" s="48" t="str">
        <f aca="false">IF(J6="x",AN$4,"")</f>
        <v/>
      </c>
      <c r="AO6" s="2"/>
      <c r="AP6" s="48" t="n">
        <f aca="false">COUNTIF(G6:J6,"=x")</f>
        <v>0</v>
      </c>
      <c r="AQ6" s="48" t="str">
        <f aca="false">IF(AP6&gt;0,AVERAGE(AK6:AN6),"")</f>
        <v/>
      </c>
      <c r="AR6" s="48" t="str">
        <f aca="false">IF(AND(AP6&gt;0,U6=1),AQ6*R6,"")</f>
        <v/>
      </c>
      <c r="AS6" s="2"/>
      <c r="AT6" s="48" t="n">
        <f aca="false">AI6*3</f>
        <v>12</v>
      </c>
      <c r="AV6" s="54" t="n">
        <f aca="false">SUM(AR6:AR7)</f>
        <v>0</v>
      </c>
      <c r="AW6" s="54" t="n">
        <f aca="false">SUM(AT6:AT7)</f>
        <v>24</v>
      </c>
    </row>
    <row r="7" customFormat="false" ht="12.75" hidden="false" customHeight="true" outlineLevel="0" collapsed="false">
      <c r="B7" s="37"/>
      <c r="C7" s="55" t="s">
        <v>26</v>
      </c>
      <c r="D7" s="56"/>
      <c r="E7" s="57" t="s">
        <v>27</v>
      </c>
      <c r="F7" s="34"/>
      <c r="G7" s="41"/>
      <c r="H7" s="41"/>
      <c r="I7" s="58"/>
      <c r="J7" s="59"/>
      <c r="K7" s="43"/>
      <c r="L7" s="43"/>
      <c r="Q7" s="43"/>
      <c r="R7" s="47" t="n">
        <v>4</v>
      </c>
      <c r="S7" s="8"/>
      <c r="U7" s="48" t="n">
        <v>1</v>
      </c>
      <c r="V7" s="48" t="n">
        <v>1</v>
      </c>
      <c r="W7" s="26" t="str">
        <f aca="false">IF(AND(U7=1,V7=0),"Bonus","")</f>
        <v/>
      </c>
      <c r="X7" s="26"/>
      <c r="Y7" s="49" t="str">
        <f aca="false">IF(U7=1,AR7,"")</f>
        <v/>
      </c>
      <c r="Z7" s="50"/>
      <c r="AA7" s="204"/>
      <c r="AB7" s="50"/>
      <c r="AC7" s="150" t="e">
        <f aca="false">IF(Y7&lt;&gt;ByStudent!Y7,Y7-ByStudent!Y7,0)</f>
        <v>#VALUE!</v>
      </c>
      <c r="AD7" s="50"/>
      <c r="AE7" s="205"/>
      <c r="AF7" s="0" t="e">
        <f aca="false">IF(AND(AC7&lt;0,AE7=""),"TODO !","")</f>
        <v>#VALUE!</v>
      </c>
      <c r="AG7" s="53"/>
      <c r="AH7" s="2"/>
      <c r="AI7" s="48" t="n">
        <f aca="false">U7*V7*R7</f>
        <v>4</v>
      </c>
      <c r="AJ7" s="2"/>
      <c r="AK7" s="48" t="str">
        <f aca="false">IF(G7="x",AK$4,"")</f>
        <v/>
      </c>
      <c r="AL7" s="48" t="str">
        <f aca="false">IF(H7="x",AL$4,"")</f>
        <v/>
      </c>
      <c r="AM7" s="48" t="str">
        <f aca="false">IF(I7="x",AM$4,"")</f>
        <v/>
      </c>
      <c r="AN7" s="48" t="str">
        <f aca="false">IF(J7="x",AN$4,"")</f>
        <v/>
      </c>
      <c r="AO7" s="2"/>
      <c r="AP7" s="48" t="n">
        <f aca="false">COUNTIF(G7:J7,"=x")</f>
        <v>0</v>
      </c>
      <c r="AQ7" s="48" t="str">
        <f aca="false">IF(AP7&gt;0,AVERAGE(AK7:AN7),"")</f>
        <v/>
      </c>
      <c r="AR7" s="48" t="str">
        <f aca="false">IF(AND(AP7&gt;0,U7=1),AQ7*R7,"")</f>
        <v/>
      </c>
      <c r="AS7" s="2"/>
      <c r="AT7" s="48" t="n">
        <f aca="false">AI7*3</f>
        <v>12</v>
      </c>
      <c r="AV7" s="54"/>
      <c r="AW7" s="54"/>
    </row>
    <row r="8" customFormat="false" ht="12.75" hidden="false" customHeight="true" outlineLevel="0" collapsed="false">
      <c r="B8" s="62"/>
      <c r="C8" s="34"/>
      <c r="D8" s="34"/>
      <c r="E8" s="5"/>
      <c r="F8" s="34"/>
      <c r="G8" s="63"/>
      <c r="H8" s="63"/>
      <c r="I8" s="63"/>
      <c r="J8" s="63"/>
      <c r="K8" s="43"/>
      <c r="L8" s="43"/>
      <c r="Q8" s="43"/>
      <c r="R8" s="21"/>
      <c r="S8" s="9"/>
      <c r="U8" s="2"/>
      <c r="V8" s="2"/>
      <c r="W8" s="26"/>
      <c r="X8" s="26"/>
      <c r="Y8" s="65"/>
      <c r="Z8" s="50"/>
      <c r="AA8" s="51"/>
      <c r="AB8" s="50"/>
      <c r="AC8" s="50"/>
      <c r="AD8" s="50"/>
      <c r="AE8" s="52"/>
      <c r="AF8" s="0" t="str">
        <f aca="false">IF(AND(AC8&lt;0,AE8=""),"TODO !","")</f>
        <v/>
      </c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V8" s="66"/>
      <c r="AW8" s="66"/>
    </row>
    <row r="9" customFormat="false" ht="12.75" hidden="false" customHeight="true" outlineLevel="0" collapsed="false">
      <c r="B9" s="67"/>
      <c r="C9" s="34"/>
      <c r="D9" s="34"/>
      <c r="E9" s="68"/>
      <c r="F9" s="34"/>
      <c r="G9" s="63"/>
      <c r="H9" s="63"/>
      <c r="I9" s="63"/>
      <c r="J9" s="63"/>
      <c r="K9" s="43"/>
      <c r="L9" s="43"/>
      <c r="Q9" s="43"/>
      <c r="R9" s="21"/>
      <c r="S9" s="69"/>
      <c r="U9" s="2"/>
      <c r="V9" s="2"/>
      <c r="W9" s="26"/>
      <c r="X9" s="26"/>
      <c r="Y9" s="65"/>
      <c r="Z9" s="50"/>
      <c r="AA9" s="51"/>
      <c r="AB9" s="50"/>
      <c r="AC9" s="50"/>
      <c r="AD9" s="50"/>
      <c r="AE9" s="52"/>
      <c r="AF9" s="0" t="str">
        <f aca="false">IF(AND(AC9&lt;0,AE9=""),"TODO !","")</f>
        <v/>
      </c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V9" s="66"/>
      <c r="AW9" s="66"/>
    </row>
    <row r="10" customFormat="false" ht="14.25" hidden="false" customHeight="true" outlineLevel="0" collapsed="false">
      <c r="B10" s="70" t="s">
        <v>30</v>
      </c>
      <c r="C10" s="39" t="s">
        <v>31</v>
      </c>
      <c r="D10" s="39" t="s">
        <v>32</v>
      </c>
      <c r="E10" s="71" t="s">
        <v>33</v>
      </c>
      <c r="F10" s="34"/>
      <c r="G10" s="41"/>
      <c r="H10" s="41"/>
      <c r="I10" s="42"/>
      <c r="J10" s="41"/>
      <c r="K10" s="43"/>
      <c r="L10" s="43"/>
      <c r="Q10" s="43"/>
      <c r="R10" s="47" t="n">
        <v>2</v>
      </c>
      <c r="S10" s="8" t="n">
        <f aca="false">SUM(R10:R17)</f>
        <v>28</v>
      </c>
      <c r="U10" s="48" t="n">
        <v>1</v>
      </c>
      <c r="V10" s="48" t="n">
        <v>1</v>
      </c>
      <c r="W10" s="26" t="str">
        <f aca="false">IF(AND(U10=1,V10=0),"Bonus","")</f>
        <v/>
      </c>
      <c r="X10" s="26"/>
      <c r="Y10" s="49" t="str">
        <f aca="false">IF(U10=1,AR10,"")</f>
        <v/>
      </c>
      <c r="Z10" s="50"/>
      <c r="AA10" s="204"/>
      <c r="AB10" s="50"/>
      <c r="AC10" s="150" t="e">
        <f aca="false">IF(Y10&lt;&gt;ByStudent!Y10,Y10-ByStudent!Y10,0)</f>
        <v>#VALUE!</v>
      </c>
      <c r="AD10" s="50"/>
      <c r="AE10" s="205"/>
      <c r="AF10" s="0" t="e">
        <f aca="false">IF(AND(AC10&lt;0,AE10=""),"TODO !","")</f>
        <v>#VALUE!</v>
      </c>
      <c r="AG10" s="53" t="s">
        <v>34</v>
      </c>
      <c r="AH10" s="2"/>
      <c r="AI10" s="48" t="n">
        <f aca="false">U10*V10*R10</f>
        <v>2</v>
      </c>
      <c r="AJ10" s="2"/>
      <c r="AK10" s="48" t="str">
        <f aca="false">IF(G10="x",AK$4,"")</f>
        <v/>
      </c>
      <c r="AL10" s="48" t="str">
        <f aca="false">IF(H10="x",AL$4,"")</f>
        <v/>
      </c>
      <c r="AM10" s="48" t="str">
        <f aca="false">IF(I10="x",AM$4,"")</f>
        <v/>
      </c>
      <c r="AN10" s="48" t="str">
        <f aca="false">IF(J10="x",AN$4,"")</f>
        <v/>
      </c>
      <c r="AO10" s="2"/>
      <c r="AP10" s="48" t="n">
        <f aca="false">COUNTIF(G10:J10,"=x")</f>
        <v>0</v>
      </c>
      <c r="AQ10" s="48" t="str">
        <f aca="false">IF(AP10&gt;0,AVERAGE(AK10:AN10),"")</f>
        <v/>
      </c>
      <c r="AR10" s="48" t="str">
        <f aca="false">IF(AND(AP10&gt;0,U10=1),AQ10*R10,"")</f>
        <v/>
      </c>
      <c r="AS10" s="2"/>
      <c r="AT10" s="48" t="n">
        <f aca="false">AI10*3</f>
        <v>6</v>
      </c>
      <c r="AV10" s="54" t="n">
        <f aca="false">SUM(AR10:AR17)</f>
        <v>0</v>
      </c>
      <c r="AW10" s="54" t="n">
        <f aca="false">SUM(AT10:AT17)</f>
        <v>66</v>
      </c>
    </row>
    <row r="11" customFormat="false" ht="13.2" hidden="false" customHeight="false" outlineLevel="0" collapsed="false">
      <c r="B11" s="70"/>
      <c r="C11" s="34" t="s">
        <v>31</v>
      </c>
      <c r="D11" s="34" t="s">
        <v>35</v>
      </c>
      <c r="E11" s="71"/>
      <c r="F11" s="34"/>
      <c r="G11" s="41"/>
      <c r="H11" s="41"/>
      <c r="I11" s="42"/>
      <c r="J11" s="41"/>
      <c r="K11" s="43"/>
      <c r="L11" s="43"/>
      <c r="Q11" s="43"/>
      <c r="R11" s="47" t="n">
        <v>14</v>
      </c>
      <c r="S11" s="8"/>
      <c r="U11" s="48" t="n">
        <v>1</v>
      </c>
      <c r="V11" s="48" t="n">
        <v>1</v>
      </c>
      <c r="W11" s="26" t="str">
        <f aca="false">IF(AND(U11=1,V11=0),"Bonus","")</f>
        <v/>
      </c>
      <c r="X11" s="26"/>
      <c r="Y11" s="49" t="str">
        <f aca="false">IF(U11=1,AR11,"")</f>
        <v/>
      </c>
      <c r="Z11" s="50"/>
      <c r="AA11" s="150"/>
      <c r="AB11" s="50"/>
      <c r="AC11" s="150" t="e">
        <f aca="false">IF(Y11&lt;&gt;ByStudent!Y11,Y11-ByStudent!Y11,0)</f>
        <v>#VALUE!</v>
      </c>
      <c r="AD11" s="50"/>
      <c r="AE11" s="74"/>
      <c r="AF11" s="0" t="e">
        <f aca="false">IF(AND(AC11&lt;0,AE11=""),"TODO !","")</f>
        <v>#VALUE!</v>
      </c>
      <c r="AG11" s="53"/>
      <c r="AH11" s="2"/>
      <c r="AI11" s="48" t="n">
        <f aca="false">U11*V11*R11</f>
        <v>14</v>
      </c>
      <c r="AJ11" s="2"/>
      <c r="AK11" s="48" t="str">
        <f aca="false">IF(G11="x",AK$4,"")</f>
        <v/>
      </c>
      <c r="AL11" s="48" t="str">
        <f aca="false">IF(H11="x",AL$4,"")</f>
        <v/>
      </c>
      <c r="AM11" s="48" t="str">
        <f aca="false">IF(I11="x",AM$4,"")</f>
        <v/>
      </c>
      <c r="AN11" s="48" t="str">
        <f aca="false">IF(J11="x",AN$4,"")</f>
        <v/>
      </c>
      <c r="AO11" s="2"/>
      <c r="AP11" s="48" t="n">
        <f aca="false">COUNTIF(G11:J11,"=x")</f>
        <v>0</v>
      </c>
      <c r="AQ11" s="48" t="str">
        <f aca="false">IF(AP11&gt;0,AVERAGE(AK11:AN11),"")</f>
        <v/>
      </c>
      <c r="AR11" s="48" t="str">
        <f aca="false">IF(AND(AP11&gt;0,U11=1),AQ11*R11,"")</f>
        <v/>
      </c>
      <c r="AS11" s="2"/>
      <c r="AT11" s="48" t="n">
        <f aca="false">AI11*3</f>
        <v>42</v>
      </c>
      <c r="AV11" s="54"/>
      <c r="AW11" s="54"/>
    </row>
    <row r="12" customFormat="false" ht="13.2" hidden="false" customHeight="false" outlineLevel="0" collapsed="false">
      <c r="B12" s="70"/>
      <c r="C12" s="34" t="s">
        <v>31</v>
      </c>
      <c r="D12" s="34" t="s">
        <v>36</v>
      </c>
      <c r="E12" s="71"/>
      <c r="F12" s="34"/>
      <c r="G12" s="41"/>
      <c r="H12" s="41"/>
      <c r="I12" s="42"/>
      <c r="J12" s="41"/>
      <c r="K12" s="43"/>
      <c r="L12" s="43"/>
      <c r="Q12" s="43"/>
      <c r="R12" s="47" t="n">
        <v>2</v>
      </c>
      <c r="S12" s="8"/>
      <c r="U12" s="48" t="n">
        <v>1</v>
      </c>
      <c r="V12" s="48" t="n">
        <v>1</v>
      </c>
      <c r="W12" s="26" t="str">
        <f aca="false">IF(AND(U12=1,V12=0),"Bonus","")</f>
        <v/>
      </c>
      <c r="X12" s="26"/>
      <c r="Y12" s="49" t="str">
        <f aca="false">IF(U12=1,AR12,"")</f>
        <v/>
      </c>
      <c r="Z12" s="50"/>
      <c r="AA12" s="150"/>
      <c r="AB12" s="50"/>
      <c r="AC12" s="150" t="e">
        <f aca="false">IF(Y12&lt;&gt;ByStudent!Y12,Y12-ByStudent!Y12,0)</f>
        <v>#VALUE!</v>
      </c>
      <c r="AD12" s="50"/>
      <c r="AE12" s="74"/>
      <c r="AF12" s="0" t="e">
        <f aca="false">IF(AND(AC12&lt;0,AE12=""),"TODO !","")</f>
        <v>#VALUE!</v>
      </c>
      <c r="AG12" s="53"/>
      <c r="AH12" s="2"/>
      <c r="AI12" s="48" t="n">
        <f aca="false">U12*V12*R12</f>
        <v>2</v>
      </c>
      <c r="AJ12" s="2"/>
      <c r="AK12" s="48" t="str">
        <f aca="false">IF(G12="x",AK$4,"")</f>
        <v/>
      </c>
      <c r="AL12" s="48" t="str">
        <f aca="false">IF(H12="x",AL$4,"")</f>
        <v/>
      </c>
      <c r="AM12" s="48" t="str">
        <f aca="false">IF(I12="x",AM$4,"")</f>
        <v/>
      </c>
      <c r="AN12" s="48" t="str">
        <f aca="false">IF(J12="x",AN$4,"")</f>
        <v/>
      </c>
      <c r="AO12" s="2"/>
      <c r="AP12" s="48" t="n">
        <f aca="false">COUNTIF(G12:J12,"=x")</f>
        <v>0</v>
      </c>
      <c r="AQ12" s="48" t="str">
        <f aca="false">IF(AP12&gt;0,AVERAGE(AK12:AN12),"")</f>
        <v/>
      </c>
      <c r="AR12" s="48" t="str">
        <f aca="false">IF(AND(AP12&gt;0,U12=1),AQ12*R12,"")</f>
        <v/>
      </c>
      <c r="AS12" s="2"/>
      <c r="AT12" s="48" t="n">
        <f aca="false">AI12*3</f>
        <v>6</v>
      </c>
      <c r="AV12" s="54"/>
      <c r="AW12" s="54"/>
    </row>
    <row r="13" customFormat="false" ht="13.2" hidden="false" customHeight="false" outlineLevel="0" collapsed="false">
      <c r="B13" s="70"/>
      <c r="C13" s="34" t="s">
        <v>37</v>
      </c>
      <c r="D13" s="34"/>
      <c r="E13" s="71"/>
      <c r="F13" s="34"/>
      <c r="G13" s="41"/>
      <c r="H13" s="41"/>
      <c r="I13" s="58"/>
      <c r="J13" s="41"/>
      <c r="K13" s="43"/>
      <c r="L13" s="43"/>
      <c r="Q13" s="43"/>
      <c r="R13" s="47" t="n">
        <v>6</v>
      </c>
      <c r="S13" s="8"/>
      <c r="U13" s="48"/>
      <c r="V13" s="48"/>
      <c r="W13" s="26" t="str">
        <f aca="false">IF(AND(U13=1,V13=0),"Bonus","")</f>
        <v/>
      </c>
      <c r="X13" s="26"/>
      <c r="Y13" s="49" t="str">
        <f aca="false">IF(U13=1,AR13,"")</f>
        <v/>
      </c>
      <c r="Z13" s="50"/>
      <c r="AA13" s="150"/>
      <c r="AB13" s="50"/>
      <c r="AC13" s="150" t="e">
        <f aca="false">IF(Y13&lt;&gt;ByStudent!Y13,Y13-ByStudent!Y13,0)</f>
        <v>#VALUE!</v>
      </c>
      <c r="AD13" s="50"/>
      <c r="AE13" s="206"/>
      <c r="AF13" s="0" t="e">
        <f aca="false">IF(AND(AC13&lt;0,AE13=""),"TODO !","")</f>
        <v>#VALUE!</v>
      </c>
      <c r="AG13" s="53"/>
      <c r="AH13" s="2"/>
      <c r="AI13" s="48" t="n">
        <f aca="false">U13*V13*R13</f>
        <v>0</v>
      </c>
      <c r="AJ13" s="2"/>
      <c r="AK13" s="48" t="str">
        <f aca="false">IF(G13="x",AK$4,"")</f>
        <v/>
      </c>
      <c r="AL13" s="48" t="str">
        <f aca="false">IF(H13="x",AL$4,"")</f>
        <v/>
      </c>
      <c r="AM13" s="48" t="str">
        <f aca="false">IF(I13="x",AM$4,"")</f>
        <v/>
      </c>
      <c r="AN13" s="48" t="str">
        <f aca="false">IF(J13="x",AN$4,"")</f>
        <v/>
      </c>
      <c r="AO13" s="2"/>
      <c r="AP13" s="48" t="n">
        <f aca="false">COUNTIF(G13:J13,"=x")</f>
        <v>0</v>
      </c>
      <c r="AQ13" s="48" t="str">
        <f aca="false">IF(AP13&gt;0,AVERAGE(AK13:AN13),"")</f>
        <v/>
      </c>
      <c r="AR13" s="48" t="str">
        <f aca="false">IF(AND(AP13&gt;0,U13=1),AQ13*R13,"")</f>
        <v/>
      </c>
      <c r="AS13" s="2"/>
      <c r="AT13" s="48" t="n">
        <f aca="false">AI13*3</f>
        <v>0</v>
      </c>
      <c r="AV13" s="54"/>
      <c r="AW13" s="54"/>
    </row>
    <row r="14" customFormat="false" ht="13.2" hidden="false" customHeight="false" outlineLevel="0" collapsed="false">
      <c r="B14" s="70"/>
      <c r="C14" s="34"/>
      <c r="D14" s="34"/>
      <c r="E14" s="75"/>
      <c r="F14" s="34"/>
      <c r="G14" s="63"/>
      <c r="H14" s="63"/>
      <c r="I14" s="63"/>
      <c r="J14" s="63"/>
      <c r="K14" s="43"/>
      <c r="L14" s="43"/>
      <c r="Q14" s="43"/>
      <c r="R14" s="21"/>
      <c r="S14" s="8"/>
      <c r="U14" s="2"/>
      <c r="V14" s="2"/>
      <c r="W14" s="26"/>
      <c r="X14" s="26"/>
      <c r="Y14" s="65"/>
      <c r="Z14" s="50"/>
      <c r="AA14" s="50"/>
      <c r="AB14" s="50"/>
      <c r="AC14" s="50"/>
      <c r="AD14" s="50"/>
      <c r="AE14" s="73"/>
      <c r="AF14" s="0" t="str">
        <f aca="false">IF(AND(AC14&lt;0,AE14=""),"TODO !","")</f>
        <v/>
      </c>
      <c r="AG14" s="53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V14" s="54"/>
      <c r="AW14" s="54"/>
    </row>
    <row r="15" customFormat="false" ht="12.75" hidden="false" customHeight="true" outlineLevel="0" collapsed="false">
      <c r="B15" s="70"/>
      <c r="C15" s="34" t="s">
        <v>31</v>
      </c>
      <c r="D15" s="34" t="s">
        <v>32</v>
      </c>
      <c r="E15" s="76" t="s">
        <v>38</v>
      </c>
      <c r="F15" s="34"/>
      <c r="G15" s="41"/>
      <c r="H15" s="41"/>
      <c r="I15" s="58"/>
      <c r="J15" s="59"/>
      <c r="K15" s="43"/>
      <c r="L15" s="43"/>
      <c r="Q15" s="43"/>
      <c r="R15" s="77" t="n">
        <v>1</v>
      </c>
      <c r="S15" s="8"/>
      <c r="U15" s="48" t="n">
        <v>1</v>
      </c>
      <c r="V15" s="48" t="n">
        <v>1</v>
      </c>
      <c r="W15" s="26" t="str">
        <f aca="false">IF(AND(U15=1,V15=0),"Bonus","")</f>
        <v/>
      </c>
      <c r="X15" s="26"/>
      <c r="Y15" s="49" t="str">
        <f aca="false">IF(U15=1,AR15,"")</f>
        <v/>
      </c>
      <c r="Z15" s="50"/>
      <c r="AA15" s="150"/>
      <c r="AB15" s="50"/>
      <c r="AC15" s="150" t="e">
        <f aca="false">IF(Y15&lt;&gt;ByStudent!Y15,Y15-ByStudent!Y15,0)</f>
        <v>#VALUE!</v>
      </c>
      <c r="AD15" s="50"/>
      <c r="AE15" s="74"/>
      <c r="AF15" s="0" t="e">
        <f aca="false">IF(AND(AC15&lt;0,AE15=""),"TODO !","")</f>
        <v>#VALUE!</v>
      </c>
      <c r="AG15" s="53"/>
      <c r="AH15" s="2"/>
      <c r="AI15" s="48" t="n">
        <f aca="false">U15*V15*R15</f>
        <v>1</v>
      </c>
      <c r="AJ15" s="2"/>
      <c r="AK15" s="48" t="str">
        <f aca="false">IF(G15="x",AK$4,"")</f>
        <v/>
      </c>
      <c r="AL15" s="48" t="str">
        <f aca="false">IF(H15="x",AL$4,"")</f>
        <v/>
      </c>
      <c r="AM15" s="48" t="str">
        <f aca="false">IF(I15="x",AM$4,"")</f>
        <v/>
      </c>
      <c r="AN15" s="48" t="str">
        <f aca="false">IF(J15="x",AN$4,"")</f>
        <v/>
      </c>
      <c r="AO15" s="2"/>
      <c r="AP15" s="48" t="n">
        <f aca="false">COUNTIF(G15:J15,"=x")</f>
        <v>0</v>
      </c>
      <c r="AQ15" s="48" t="str">
        <f aca="false">IF(AP15&gt;0,AVERAGE(AK15:AN15),"")</f>
        <v/>
      </c>
      <c r="AR15" s="48" t="str">
        <f aca="false">IF(AND(AP15&gt;0,U15=1),AQ15*R15,"")</f>
        <v/>
      </c>
      <c r="AS15" s="2"/>
      <c r="AT15" s="48" t="n">
        <f aca="false">AI15*3</f>
        <v>3</v>
      </c>
      <c r="AV15" s="54"/>
      <c r="AW15" s="54"/>
    </row>
    <row r="16" customFormat="false" ht="13.2" hidden="false" customHeight="false" outlineLevel="0" collapsed="false">
      <c r="B16" s="70"/>
      <c r="C16" s="34" t="s">
        <v>31</v>
      </c>
      <c r="D16" s="34" t="s">
        <v>35</v>
      </c>
      <c r="E16" s="76"/>
      <c r="F16" s="34"/>
      <c r="G16" s="41"/>
      <c r="H16" s="41"/>
      <c r="I16" s="58"/>
      <c r="J16" s="59"/>
      <c r="K16" s="43"/>
      <c r="L16" s="43"/>
      <c r="Q16" s="43"/>
      <c r="R16" s="77" t="n">
        <v>2</v>
      </c>
      <c r="S16" s="8"/>
      <c r="U16" s="48" t="n">
        <v>1</v>
      </c>
      <c r="V16" s="48" t="n">
        <v>1</v>
      </c>
      <c r="W16" s="26" t="str">
        <f aca="false">IF(AND(U16=1,V16=0),"Bonus","")</f>
        <v/>
      </c>
      <c r="X16" s="26"/>
      <c r="Y16" s="49" t="str">
        <f aca="false">IF(U16=1,AR16,"")</f>
        <v/>
      </c>
      <c r="Z16" s="50"/>
      <c r="AA16" s="150"/>
      <c r="AB16" s="50"/>
      <c r="AC16" s="150" t="e">
        <f aca="false">IF(Y16&lt;&gt;ByStudent!Y16,Y16-ByStudent!Y16,0)</f>
        <v>#VALUE!</v>
      </c>
      <c r="AD16" s="50"/>
      <c r="AE16" s="74"/>
      <c r="AF16" s="0" t="e">
        <f aca="false">IF(AND(AC16&lt;0,AE16=""),"TODO !","")</f>
        <v>#VALUE!</v>
      </c>
      <c r="AG16" s="53"/>
      <c r="AH16" s="2"/>
      <c r="AI16" s="48" t="n">
        <f aca="false">U16*V16*R16</f>
        <v>2</v>
      </c>
      <c r="AJ16" s="2"/>
      <c r="AK16" s="48" t="str">
        <f aca="false">IF(G16="x",AK$4,"")</f>
        <v/>
      </c>
      <c r="AL16" s="48" t="str">
        <f aca="false">IF(H16="x",AL$4,"")</f>
        <v/>
      </c>
      <c r="AM16" s="48" t="str">
        <f aca="false">IF(I16="x",AM$4,"")</f>
        <v/>
      </c>
      <c r="AN16" s="48" t="str">
        <f aca="false">IF(J16="x",AN$4,"")</f>
        <v/>
      </c>
      <c r="AO16" s="2"/>
      <c r="AP16" s="48" t="n">
        <f aca="false">COUNTIF(G16:J16,"=x")</f>
        <v>0</v>
      </c>
      <c r="AQ16" s="48" t="str">
        <f aca="false">IF(AP16&gt;0,AVERAGE(AK16:AN16),"")</f>
        <v/>
      </c>
      <c r="AR16" s="48" t="str">
        <f aca="false">IF(AND(AP16&gt;0,U16=1),AQ16*R16,"")</f>
        <v/>
      </c>
      <c r="AS16" s="2"/>
      <c r="AT16" s="48" t="n">
        <f aca="false">AI16*3</f>
        <v>6</v>
      </c>
      <c r="AV16" s="54"/>
      <c r="AW16" s="54"/>
    </row>
    <row r="17" customFormat="false" ht="13.2" hidden="false" customHeight="false" outlineLevel="0" collapsed="false">
      <c r="B17" s="70"/>
      <c r="C17" s="56" t="s">
        <v>31</v>
      </c>
      <c r="D17" s="56" t="s">
        <v>36</v>
      </c>
      <c r="E17" s="76"/>
      <c r="F17" s="34"/>
      <c r="G17" s="41"/>
      <c r="H17" s="41"/>
      <c r="I17" s="41"/>
      <c r="J17" s="59"/>
      <c r="K17" s="43"/>
      <c r="L17" s="43"/>
      <c r="Q17" s="43"/>
      <c r="R17" s="77" t="n">
        <v>1</v>
      </c>
      <c r="S17" s="8"/>
      <c r="U17" s="48" t="n">
        <v>1</v>
      </c>
      <c r="V17" s="48" t="n">
        <v>1</v>
      </c>
      <c r="W17" s="26" t="str">
        <f aca="false">IF(AND(U17=1,V17=0),"Bonus","")</f>
        <v/>
      </c>
      <c r="X17" s="26"/>
      <c r="Y17" s="49" t="str">
        <f aca="false">IF(U17=1,AR17,"")</f>
        <v/>
      </c>
      <c r="Z17" s="50"/>
      <c r="AA17" s="150"/>
      <c r="AB17" s="50"/>
      <c r="AC17" s="150" t="e">
        <f aca="false">IF(Y17&lt;&gt;ByStudent!Y17,Y17-ByStudent!Y17,0)</f>
        <v>#VALUE!</v>
      </c>
      <c r="AD17" s="50"/>
      <c r="AE17" s="74"/>
      <c r="AF17" s="0" t="e">
        <f aca="false">IF(AND(AC17&lt;0,AE17=""),"TODO !","")</f>
        <v>#VALUE!</v>
      </c>
      <c r="AG17" s="53"/>
      <c r="AH17" s="2"/>
      <c r="AI17" s="48" t="n">
        <f aca="false">U17*V17*R17</f>
        <v>1</v>
      </c>
      <c r="AJ17" s="2"/>
      <c r="AK17" s="48" t="str">
        <f aca="false">IF(G17="x",AK$4,"")</f>
        <v/>
      </c>
      <c r="AL17" s="48" t="str">
        <f aca="false">IF(H17="x",AL$4,"")</f>
        <v/>
      </c>
      <c r="AM17" s="48" t="str">
        <f aca="false">IF(I17="x",AM$4,"")</f>
        <v/>
      </c>
      <c r="AN17" s="48" t="str">
        <f aca="false">IF(J17="x",AN$4,"")</f>
        <v/>
      </c>
      <c r="AO17" s="2"/>
      <c r="AP17" s="48" t="n">
        <f aca="false">COUNTIF(G17:J17,"=x")</f>
        <v>0</v>
      </c>
      <c r="AQ17" s="48" t="str">
        <f aca="false">IF(AP17&gt;0,AVERAGE(AK17:AN17),"")</f>
        <v/>
      </c>
      <c r="AR17" s="48" t="str">
        <f aca="false">IF(AND(AP17&gt;0,U17=1),AQ17*R17,"")</f>
        <v/>
      </c>
      <c r="AS17" s="2"/>
      <c r="AT17" s="48" t="n">
        <f aca="false">AI17*3</f>
        <v>3</v>
      </c>
      <c r="AV17" s="54"/>
      <c r="AW17" s="54"/>
    </row>
    <row r="18" customFormat="false" ht="13.2" hidden="false" customHeight="false" outlineLevel="0" collapsed="false">
      <c r="G18" s="78"/>
      <c r="H18" s="78"/>
      <c r="I18" s="78"/>
      <c r="J18" s="78"/>
      <c r="L18" s="2"/>
      <c r="U18" s="2"/>
      <c r="V18" s="2"/>
      <c r="W18" s="26"/>
      <c r="X18" s="26"/>
      <c r="Y18" s="65" t="str">
        <f aca="false">IF(U18=1,AR18,"")</f>
        <v/>
      </c>
      <c r="Z18" s="80"/>
      <c r="AA18" s="80"/>
      <c r="AB18" s="80"/>
      <c r="AC18" s="50"/>
      <c r="AD18" s="80"/>
      <c r="AE18" s="73"/>
      <c r="AF18" s="0" t="str">
        <f aca="false">IF(AND(AC18&lt;0,AE18=""),"TODO !","")</f>
        <v/>
      </c>
      <c r="AH18" s="2"/>
      <c r="AI18" s="2"/>
      <c r="AJ18" s="2"/>
      <c r="AK18" s="2" t="str">
        <f aca="false">IF(G18="x",AK$4,"")</f>
        <v/>
      </c>
      <c r="AL18" s="2" t="str">
        <f aca="false">IF(H18="x",AL$4,"")</f>
        <v/>
      </c>
      <c r="AM18" s="2" t="str">
        <f aca="false">IF(I18="x",AM$4,"")</f>
        <v/>
      </c>
      <c r="AN18" s="2" t="str">
        <f aca="false">IF(J18="x",AN$4,"")</f>
        <v/>
      </c>
      <c r="AO18" s="2"/>
      <c r="AP18" s="2"/>
      <c r="AQ18" s="2" t="str">
        <f aca="false">IF(AP18&gt;0,AVERAGE(AK18:AN18),"")</f>
        <v/>
      </c>
      <c r="AR18" s="2"/>
      <c r="AS18" s="2"/>
      <c r="AT18" s="2"/>
    </row>
    <row r="19" customFormat="false" ht="13.2" hidden="false" customHeight="false" outlineLevel="0" collapsed="false">
      <c r="G19" s="78"/>
      <c r="H19" s="78"/>
      <c r="I19" s="78"/>
      <c r="J19" s="78"/>
      <c r="L19" s="2"/>
      <c r="U19" s="2"/>
      <c r="V19" s="2"/>
      <c r="W19" s="26"/>
      <c r="X19" s="26"/>
      <c r="Y19" s="65" t="str">
        <f aca="false">IF(U19=1,AR19,"")</f>
        <v/>
      </c>
      <c r="Z19" s="80"/>
      <c r="AA19" s="80"/>
      <c r="AB19" s="80"/>
      <c r="AC19" s="50"/>
      <c r="AD19" s="80"/>
      <c r="AE19" s="73"/>
      <c r="AF19" s="0" t="str">
        <f aca="false">IF(AND(AC19&lt;0,AE19=""),"TODO !","")</f>
        <v/>
      </c>
      <c r="AH19" s="2"/>
      <c r="AI19" s="2"/>
      <c r="AJ19" s="2"/>
      <c r="AK19" s="2" t="str">
        <f aca="false">IF(G19="x",AK$4,"")</f>
        <v/>
      </c>
      <c r="AL19" s="2" t="str">
        <f aca="false">IF(H19="x",AL$4,"")</f>
        <v/>
      </c>
      <c r="AM19" s="2" t="str">
        <f aca="false">IF(I19="x",AM$4,"")</f>
        <v/>
      </c>
      <c r="AN19" s="2" t="str">
        <f aca="false">IF(J19="x",AN$4,"")</f>
        <v/>
      </c>
      <c r="AO19" s="2"/>
      <c r="AP19" s="2"/>
      <c r="AQ19" s="2" t="str">
        <f aca="false">IF(AP19&gt;0,AVERAGE(AK19:AN19),"")</f>
        <v/>
      </c>
      <c r="AR19" s="2"/>
      <c r="AS19" s="2"/>
      <c r="AT19" s="2"/>
    </row>
    <row r="20" customFormat="false" ht="12.75" hidden="false" customHeight="true" outlineLevel="1" collapsed="false">
      <c r="B20" s="70" t="s">
        <v>39</v>
      </c>
      <c r="C20" s="38" t="s">
        <v>40</v>
      </c>
      <c r="D20" s="39"/>
      <c r="E20" s="71" t="s">
        <v>33</v>
      </c>
      <c r="F20" s="34"/>
      <c r="G20" s="41"/>
      <c r="H20" s="41"/>
      <c r="I20" s="42"/>
      <c r="J20" s="41"/>
      <c r="K20" s="43"/>
      <c r="L20" s="43"/>
      <c r="Q20" s="43"/>
      <c r="R20" s="47" t="n">
        <v>6</v>
      </c>
      <c r="S20" s="8" t="n">
        <f aca="false">SUM(R20:R29)</f>
        <v>22</v>
      </c>
      <c r="U20" s="48" t="n">
        <v>1</v>
      </c>
      <c r="V20" s="48" t="n">
        <v>1</v>
      </c>
      <c r="W20" s="26" t="str">
        <f aca="false">IF(AND(U20=1,V20=0),"Bonus","")</f>
        <v/>
      </c>
      <c r="X20" s="26"/>
      <c r="Y20" s="49" t="str">
        <f aca="false">IF(U20=1,AR20,"")</f>
        <v/>
      </c>
      <c r="Z20" s="50"/>
      <c r="AA20" s="150"/>
      <c r="AB20" s="50"/>
      <c r="AC20" s="150" t="e">
        <f aca="false">IF(Y20&lt;&gt;ByStudent!Y20,Y20-ByStudent!Y20,0)</f>
        <v>#VALUE!</v>
      </c>
      <c r="AD20" s="50"/>
      <c r="AE20" s="74"/>
      <c r="AF20" s="0" t="e">
        <f aca="false">IF(AND(AC20&lt;0,AE20=""),"TODO !","")</f>
        <v>#VALUE!</v>
      </c>
      <c r="AG20" s="53" t="s">
        <v>41</v>
      </c>
      <c r="AH20" s="2"/>
      <c r="AI20" s="48" t="n">
        <f aca="false">U20*V20*R20</f>
        <v>6</v>
      </c>
      <c r="AJ20" s="2"/>
      <c r="AK20" s="48" t="str">
        <f aca="false">IF(G20="x",AK$4,"")</f>
        <v/>
      </c>
      <c r="AL20" s="48" t="str">
        <f aca="false">IF(H20="x",AL$4,"")</f>
        <v/>
      </c>
      <c r="AM20" s="48" t="str">
        <f aca="false">IF(I20="x",AM$4,"")</f>
        <v/>
      </c>
      <c r="AN20" s="48" t="str">
        <f aca="false">IF(J20="x",AN$4,"")</f>
        <v/>
      </c>
      <c r="AO20" s="2"/>
      <c r="AP20" s="48" t="n">
        <f aca="false">COUNTIF(G20:J20,"=x")</f>
        <v>0</v>
      </c>
      <c r="AQ20" s="48" t="str">
        <f aca="false">IF(AP20&gt;0,AVERAGE(AK20:AN20),"")</f>
        <v/>
      </c>
      <c r="AR20" s="48" t="str">
        <f aca="false">IF(AND(AP20&gt;0,U20=1),AQ20*R20,"")</f>
        <v/>
      </c>
      <c r="AS20" s="2"/>
      <c r="AT20" s="48" t="n">
        <f aca="false">AI20*3</f>
        <v>18</v>
      </c>
      <c r="AV20" s="54" t="n">
        <f aca="false">SUM(AR20:AR29)</f>
        <v>0</v>
      </c>
      <c r="AW20" s="54" t="n">
        <f aca="false">SUM(AT20:AT29)</f>
        <v>66</v>
      </c>
    </row>
    <row r="21" customFormat="false" ht="13.2" hidden="false" customHeight="false" outlineLevel="1" collapsed="false">
      <c r="B21" s="70"/>
      <c r="C21" s="82" t="s">
        <v>42</v>
      </c>
      <c r="D21" s="34"/>
      <c r="E21" s="71"/>
      <c r="F21" s="34"/>
      <c r="G21" s="41"/>
      <c r="H21" s="41"/>
      <c r="I21" s="42"/>
      <c r="J21" s="41"/>
      <c r="K21" s="43"/>
      <c r="L21" s="43"/>
      <c r="Q21" s="43"/>
      <c r="R21" s="47" t="n">
        <v>2</v>
      </c>
      <c r="S21" s="8"/>
      <c r="U21" s="48" t="n">
        <v>1</v>
      </c>
      <c r="V21" s="48" t="n">
        <v>1</v>
      </c>
      <c r="W21" s="26" t="str">
        <f aca="false">IF(AND(U21=1,V21=0),"Bonus","")</f>
        <v/>
      </c>
      <c r="X21" s="26"/>
      <c r="Y21" s="49" t="str">
        <f aca="false">IF(U21=1,AR21,"")</f>
        <v/>
      </c>
      <c r="Z21" s="50"/>
      <c r="AA21" s="150"/>
      <c r="AB21" s="50"/>
      <c r="AC21" s="150" t="e">
        <f aca="false">IF(Y21&lt;&gt;ByStudent!Y21,Y21-ByStudent!Y21,0)</f>
        <v>#VALUE!</v>
      </c>
      <c r="AD21" s="50"/>
      <c r="AE21" s="74"/>
      <c r="AF21" s="0" t="e">
        <f aca="false">IF(AND(AC21&lt;0,AE21=""),"TODO !","")</f>
        <v>#VALUE!</v>
      </c>
      <c r="AG21" s="53"/>
      <c r="AH21" s="2"/>
      <c r="AI21" s="48" t="n">
        <f aca="false">U21*V21*R21</f>
        <v>2</v>
      </c>
      <c r="AJ21" s="2"/>
      <c r="AK21" s="48" t="str">
        <f aca="false">IF(G21="x",AK$4,"")</f>
        <v/>
      </c>
      <c r="AL21" s="48" t="str">
        <f aca="false">IF(H21="x",AL$4,"")</f>
        <v/>
      </c>
      <c r="AM21" s="48" t="str">
        <f aca="false">IF(I21="x",AM$4,"")</f>
        <v/>
      </c>
      <c r="AN21" s="48" t="str">
        <f aca="false">IF(J21="x",AN$4,"")</f>
        <v/>
      </c>
      <c r="AO21" s="2"/>
      <c r="AP21" s="48" t="n">
        <f aca="false">COUNTIF(G21:J21,"=x")</f>
        <v>0</v>
      </c>
      <c r="AQ21" s="48" t="str">
        <f aca="false">IF(AP21&gt;0,AVERAGE(AK21:AN21),"")</f>
        <v/>
      </c>
      <c r="AR21" s="48" t="str">
        <f aca="false">IF(AND(AP21&gt;0,U21=1),AQ21*R21,"")</f>
        <v/>
      </c>
      <c r="AS21" s="2"/>
      <c r="AT21" s="48" t="n">
        <f aca="false">AI21*3</f>
        <v>6</v>
      </c>
      <c r="AV21" s="54"/>
      <c r="AW21" s="54"/>
    </row>
    <row r="22" customFormat="false" ht="13.2" hidden="false" customHeight="false" outlineLevel="1" collapsed="false">
      <c r="B22" s="70"/>
      <c r="C22" s="82" t="s">
        <v>43</v>
      </c>
      <c r="D22" s="34"/>
      <c r="E22" s="71"/>
      <c r="F22" s="34"/>
      <c r="G22" s="84"/>
      <c r="H22" s="84"/>
      <c r="I22" s="85"/>
      <c r="J22" s="84"/>
      <c r="K22" s="43"/>
      <c r="L22" s="43"/>
      <c r="Q22" s="43"/>
      <c r="R22" s="47" t="n">
        <v>7</v>
      </c>
      <c r="S22" s="8"/>
      <c r="U22" s="48" t="n">
        <v>1</v>
      </c>
      <c r="V22" s="48" t="n">
        <v>1</v>
      </c>
      <c r="W22" s="26" t="str">
        <f aca="false">IF(AND(U22=1,V22=0),"Bonus","")</f>
        <v/>
      </c>
      <c r="X22" s="26"/>
      <c r="Y22" s="49" t="str">
        <f aca="false">IF(U22=1,AR22,"")</f>
        <v/>
      </c>
      <c r="Z22" s="50"/>
      <c r="AA22" s="150"/>
      <c r="AB22" s="50"/>
      <c r="AC22" s="150" t="e">
        <f aca="false">IF(Y22&lt;&gt;ByStudent!Y22,Y22-ByStudent!Y22,0)</f>
        <v>#VALUE!</v>
      </c>
      <c r="AD22" s="50"/>
      <c r="AE22" s="206"/>
      <c r="AF22" s="0" t="e">
        <f aca="false">IF(AND(AC22&lt;0,AE22=""),"TODO !","")</f>
        <v>#VALUE!</v>
      </c>
      <c r="AG22" s="53"/>
      <c r="AH22" s="2"/>
      <c r="AI22" s="48" t="n">
        <f aca="false">U22*V22*R22</f>
        <v>7</v>
      </c>
      <c r="AJ22" s="2"/>
      <c r="AK22" s="48" t="str">
        <f aca="false">IF(G22="x",AK$4,"")</f>
        <v/>
      </c>
      <c r="AL22" s="48" t="str">
        <f aca="false">IF(H22="x",AL$4,"")</f>
        <v/>
      </c>
      <c r="AM22" s="48" t="str">
        <f aca="false">IF(I22="x",AM$4,"")</f>
        <v/>
      </c>
      <c r="AN22" s="48" t="str">
        <f aca="false">IF(J22="x",AN$4,"")</f>
        <v/>
      </c>
      <c r="AO22" s="2"/>
      <c r="AP22" s="48" t="n">
        <f aca="false">COUNTIF(G22:J22,"=x")</f>
        <v>0</v>
      </c>
      <c r="AQ22" s="48" t="str">
        <f aca="false">IF(AP22&gt;0,AVERAGE(AK22:AN22),"")</f>
        <v/>
      </c>
      <c r="AR22" s="48" t="str">
        <f aca="false">IF(AND(AP22&gt;0,U22=1),AQ22*R22,"")</f>
        <v/>
      </c>
      <c r="AS22" s="2"/>
      <c r="AT22" s="48" t="n">
        <f aca="false">AI22*3</f>
        <v>21</v>
      </c>
      <c r="AV22" s="54"/>
      <c r="AW22" s="54"/>
    </row>
    <row r="23" customFormat="false" ht="13.2" hidden="false" customHeight="false" outlineLevel="1" collapsed="false">
      <c r="B23" s="70"/>
      <c r="C23" s="82" t="s">
        <v>44</v>
      </c>
      <c r="D23" s="34"/>
      <c r="E23" s="71"/>
      <c r="F23" s="34"/>
      <c r="G23" s="41"/>
      <c r="H23" s="41"/>
      <c r="I23" s="42"/>
      <c r="J23" s="41"/>
      <c r="K23" s="43"/>
      <c r="L23" s="43"/>
      <c r="Q23" s="43"/>
      <c r="R23" s="47" t="n">
        <v>2</v>
      </c>
      <c r="S23" s="8"/>
      <c r="U23" s="48" t="n">
        <v>1</v>
      </c>
      <c r="V23" s="48" t="n">
        <v>1</v>
      </c>
      <c r="W23" s="26" t="str">
        <f aca="false">IF(AND(U23=1,V23=0),"Bonus","")</f>
        <v/>
      </c>
      <c r="X23" s="26"/>
      <c r="Y23" s="49" t="str">
        <f aca="false">IF(U23=1,AR23,"")</f>
        <v/>
      </c>
      <c r="Z23" s="50"/>
      <c r="AA23" s="150"/>
      <c r="AB23" s="50"/>
      <c r="AC23" s="150" t="e">
        <f aca="false">IF(Y23&lt;&gt;ByStudent!Y23,Y23-ByStudent!Y23,0)</f>
        <v>#VALUE!</v>
      </c>
      <c r="AD23" s="50"/>
      <c r="AE23" s="74"/>
      <c r="AF23" s="0" t="e">
        <f aca="false">IF(AND(AC23&lt;0,AE23=""),"TODO !","")</f>
        <v>#VALUE!</v>
      </c>
      <c r="AG23" s="53"/>
      <c r="AH23" s="2"/>
      <c r="AI23" s="48" t="n">
        <f aca="false">U23*V23*R23</f>
        <v>2</v>
      </c>
      <c r="AJ23" s="2"/>
      <c r="AK23" s="48" t="str">
        <f aca="false">IF(G23="x",AK$4,"")</f>
        <v/>
      </c>
      <c r="AL23" s="48" t="str">
        <f aca="false">IF(H23="x",AL$4,"")</f>
        <v/>
      </c>
      <c r="AM23" s="48" t="str">
        <f aca="false">IF(I23="x",AM$4,"")</f>
        <v/>
      </c>
      <c r="AN23" s="48" t="str">
        <f aca="false">IF(J23="x",AN$4,"")</f>
        <v/>
      </c>
      <c r="AO23" s="2"/>
      <c r="AP23" s="48" t="n">
        <f aca="false">COUNTIF(G23:J23,"=x")</f>
        <v>0</v>
      </c>
      <c r="AQ23" s="48" t="str">
        <f aca="false">IF(AP23&gt;0,AVERAGE(AK23:AN23),"")</f>
        <v/>
      </c>
      <c r="AR23" s="48" t="str">
        <f aca="false">IF(AND(AP23&gt;0,U23=1),AQ23*R23,"")</f>
        <v/>
      </c>
      <c r="AS23" s="2"/>
      <c r="AT23" s="48" t="n">
        <f aca="false">AI23*3</f>
        <v>6</v>
      </c>
      <c r="AV23" s="54"/>
      <c r="AW23" s="54"/>
    </row>
    <row r="24" customFormat="false" ht="13.2" hidden="false" customHeight="false" outlineLevel="1" collapsed="false">
      <c r="B24" s="70"/>
      <c r="C24" s="82"/>
      <c r="D24" s="34"/>
      <c r="E24" s="88"/>
      <c r="F24" s="34"/>
      <c r="G24" s="63"/>
      <c r="H24" s="63"/>
      <c r="I24" s="63"/>
      <c r="J24" s="63"/>
      <c r="K24" s="43"/>
      <c r="L24" s="43"/>
      <c r="Q24" s="43"/>
      <c r="R24" s="21"/>
      <c r="S24" s="8"/>
      <c r="U24" s="2"/>
      <c r="V24" s="2"/>
      <c r="W24" s="26"/>
      <c r="X24" s="26"/>
      <c r="Y24" s="65"/>
      <c r="Z24" s="50"/>
      <c r="AA24" s="50"/>
      <c r="AB24" s="50"/>
      <c r="AC24" s="50"/>
      <c r="AD24" s="50"/>
      <c r="AE24" s="73"/>
      <c r="AF24" s="0" t="str">
        <f aca="false">IF(AND(AC24&lt;0,AE24=""),"TODO !","")</f>
        <v/>
      </c>
      <c r="AG24" s="53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V24" s="54"/>
      <c r="AW24" s="54"/>
    </row>
    <row r="25" customFormat="false" ht="13.2" hidden="false" customHeight="false" outlineLevel="1" collapsed="false">
      <c r="B25" s="70"/>
      <c r="C25" s="82"/>
      <c r="D25" s="34"/>
      <c r="E25" s="75"/>
      <c r="F25" s="34"/>
      <c r="G25" s="63"/>
      <c r="H25" s="63"/>
      <c r="I25" s="63"/>
      <c r="J25" s="63"/>
      <c r="K25" s="43"/>
      <c r="L25" s="43"/>
      <c r="Q25" s="43"/>
      <c r="R25" s="21"/>
      <c r="S25" s="8"/>
      <c r="U25" s="2"/>
      <c r="V25" s="2"/>
      <c r="W25" s="26"/>
      <c r="X25" s="26"/>
      <c r="Y25" s="65"/>
      <c r="Z25" s="50"/>
      <c r="AA25" s="50"/>
      <c r="AB25" s="50"/>
      <c r="AC25" s="50"/>
      <c r="AD25" s="50"/>
      <c r="AE25" s="73"/>
      <c r="AF25" s="0" t="str">
        <f aca="false">IF(AND(AC25&lt;0,AE25=""),"TODO !","")</f>
        <v/>
      </c>
      <c r="AG25" s="53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V25" s="54"/>
      <c r="AW25" s="54"/>
    </row>
    <row r="26" customFormat="false" ht="13.2" hidden="false" customHeight="false" outlineLevel="1" collapsed="false">
      <c r="B26" s="70"/>
      <c r="C26" s="82" t="s">
        <v>40</v>
      </c>
      <c r="D26" s="34"/>
      <c r="E26" s="76" t="s">
        <v>27</v>
      </c>
      <c r="F26" s="34"/>
      <c r="G26" s="41"/>
      <c r="H26" s="41"/>
      <c r="I26" s="41"/>
      <c r="J26" s="59"/>
      <c r="K26" s="43"/>
      <c r="L26" s="43"/>
      <c r="Q26" s="43"/>
      <c r="R26" s="47" t="n">
        <v>2</v>
      </c>
      <c r="S26" s="8"/>
      <c r="U26" s="48" t="n">
        <v>1</v>
      </c>
      <c r="V26" s="48" t="n">
        <v>1</v>
      </c>
      <c r="W26" s="26" t="str">
        <f aca="false">IF(AND(U26=1,V26=0),"Bonus","")</f>
        <v/>
      </c>
      <c r="X26" s="26"/>
      <c r="Y26" s="49" t="str">
        <f aca="false">IF(U26=1,AR26,"")</f>
        <v/>
      </c>
      <c r="Z26" s="50"/>
      <c r="AA26" s="150"/>
      <c r="AB26" s="50"/>
      <c r="AC26" s="150" t="e">
        <f aca="false">IF(Y26&lt;&gt;ByStudent!Y26,Y26-ByStudent!Y26,0)</f>
        <v>#VALUE!</v>
      </c>
      <c r="AD26" s="50"/>
      <c r="AE26" s="74"/>
      <c r="AF26" s="0" t="e">
        <f aca="false">IF(AND(AC26&lt;0,AE26=""),"TODO !","")</f>
        <v>#VALUE!</v>
      </c>
      <c r="AG26" s="53"/>
      <c r="AH26" s="2"/>
      <c r="AI26" s="48" t="n">
        <f aca="false">U26*V26*R26</f>
        <v>2</v>
      </c>
      <c r="AJ26" s="2"/>
      <c r="AK26" s="48" t="str">
        <f aca="false">IF(G26="x",AK$4,"")</f>
        <v/>
      </c>
      <c r="AL26" s="48" t="str">
        <f aca="false">IF(H26="x",AL$4,"")</f>
        <v/>
      </c>
      <c r="AM26" s="48" t="str">
        <f aca="false">IF(I26="x",AM$4,"")</f>
        <v/>
      </c>
      <c r="AN26" s="48" t="str">
        <f aca="false">IF(J26="x",AN$4,"")</f>
        <v/>
      </c>
      <c r="AO26" s="2"/>
      <c r="AP26" s="48" t="n">
        <f aca="false">COUNTIF(G26:J26,"=x")</f>
        <v>0</v>
      </c>
      <c r="AQ26" s="48" t="str">
        <f aca="false">IF(AP26&gt;0,AVERAGE(AK26:AN26),"")</f>
        <v/>
      </c>
      <c r="AR26" s="48" t="str">
        <f aca="false">IF(AND(AP26&gt;0,U26=1),AQ26*R26,"")</f>
        <v/>
      </c>
      <c r="AS26" s="2"/>
      <c r="AT26" s="48" t="n">
        <f aca="false">AI26*3</f>
        <v>6</v>
      </c>
      <c r="AV26" s="54"/>
      <c r="AW26" s="54"/>
    </row>
    <row r="27" customFormat="false" ht="13.2" hidden="false" customHeight="false" outlineLevel="1" collapsed="false">
      <c r="B27" s="70"/>
      <c r="C27" s="82" t="s">
        <v>42</v>
      </c>
      <c r="D27" s="34"/>
      <c r="E27" s="76"/>
      <c r="F27" s="34"/>
      <c r="G27" s="41"/>
      <c r="H27" s="41"/>
      <c r="I27" s="41"/>
      <c r="J27" s="59"/>
      <c r="K27" s="43"/>
      <c r="L27" s="43"/>
      <c r="Q27" s="43"/>
      <c r="R27" s="47" t="n">
        <v>1</v>
      </c>
      <c r="S27" s="8"/>
      <c r="U27" s="48" t="n">
        <v>1</v>
      </c>
      <c r="V27" s="48" t="n">
        <v>1</v>
      </c>
      <c r="W27" s="26" t="str">
        <f aca="false">IF(AND(U27=1,V27=0),"Bonus","")</f>
        <v/>
      </c>
      <c r="X27" s="26"/>
      <c r="Y27" s="49" t="str">
        <f aca="false">IF(U27=1,AR27,"")</f>
        <v/>
      </c>
      <c r="Z27" s="50"/>
      <c r="AA27" s="150"/>
      <c r="AB27" s="50"/>
      <c r="AC27" s="150" t="e">
        <f aca="false">IF(Y27&lt;&gt;ByStudent!Y27,Y27-ByStudent!Y27,0)</f>
        <v>#VALUE!</v>
      </c>
      <c r="AD27" s="50"/>
      <c r="AE27" s="74"/>
      <c r="AF27" s="0" t="e">
        <f aca="false">IF(AND(AC27&lt;0,AE27=""),"TODO !","")</f>
        <v>#VALUE!</v>
      </c>
      <c r="AG27" s="53"/>
      <c r="AH27" s="2"/>
      <c r="AI27" s="48" t="n">
        <f aca="false">U27*V27*R27</f>
        <v>1</v>
      </c>
      <c r="AJ27" s="2"/>
      <c r="AK27" s="48" t="str">
        <f aca="false">IF(G27="x",AK$4,"")</f>
        <v/>
      </c>
      <c r="AL27" s="48" t="str">
        <f aca="false">IF(H27="x",AL$4,"")</f>
        <v/>
      </c>
      <c r="AM27" s="48" t="str">
        <f aca="false">IF(I27="x",AM$4,"")</f>
        <v/>
      </c>
      <c r="AN27" s="48" t="str">
        <f aca="false">IF(J27="x",AN$4,"")</f>
        <v/>
      </c>
      <c r="AO27" s="2"/>
      <c r="AP27" s="48" t="n">
        <f aca="false">COUNTIF(G27:J27,"=x")</f>
        <v>0</v>
      </c>
      <c r="AQ27" s="48" t="str">
        <f aca="false">IF(AP27&gt;0,AVERAGE(AK27:AN27),"")</f>
        <v/>
      </c>
      <c r="AR27" s="48" t="str">
        <f aca="false">IF(AND(AP27&gt;0,U27=1),AQ27*R27,"")</f>
        <v/>
      </c>
      <c r="AS27" s="2"/>
      <c r="AT27" s="48" t="n">
        <f aca="false">AI27*3</f>
        <v>3</v>
      </c>
      <c r="AV27" s="54"/>
      <c r="AW27" s="54"/>
    </row>
    <row r="28" customFormat="false" ht="13.2" hidden="false" customHeight="false" outlineLevel="1" collapsed="false">
      <c r="B28" s="70"/>
      <c r="C28" s="82" t="s">
        <v>43</v>
      </c>
      <c r="D28" s="34"/>
      <c r="E28" s="76"/>
      <c r="F28" s="34"/>
      <c r="G28" s="41"/>
      <c r="H28" s="41"/>
      <c r="I28" s="41"/>
      <c r="J28" s="59"/>
      <c r="K28" s="43"/>
      <c r="L28" s="43"/>
      <c r="Q28" s="43"/>
      <c r="R28" s="47" t="n">
        <v>1</v>
      </c>
      <c r="S28" s="8"/>
      <c r="U28" s="48" t="n">
        <v>1</v>
      </c>
      <c r="V28" s="48" t="n">
        <v>1</v>
      </c>
      <c r="W28" s="26" t="str">
        <f aca="false">IF(AND(U28=1,V28=0),"Bonus","")</f>
        <v/>
      </c>
      <c r="X28" s="26"/>
      <c r="Y28" s="49" t="str">
        <f aca="false">IF(U28=1,AR28,"")</f>
        <v/>
      </c>
      <c r="Z28" s="50"/>
      <c r="AA28" s="150"/>
      <c r="AB28" s="50"/>
      <c r="AC28" s="150" t="e">
        <f aca="false">IF(Y28&lt;&gt;ByStudent!Y28,Y28-ByStudent!Y28,0)</f>
        <v>#VALUE!</v>
      </c>
      <c r="AD28" s="50"/>
      <c r="AE28" s="74"/>
      <c r="AF28" s="0" t="e">
        <f aca="false">IF(AND(AC28&lt;0,AE28=""),"TODO !","")</f>
        <v>#VALUE!</v>
      </c>
      <c r="AG28" s="53"/>
      <c r="AH28" s="2"/>
      <c r="AI28" s="48" t="n">
        <f aca="false">U28*V28*R28</f>
        <v>1</v>
      </c>
      <c r="AJ28" s="2"/>
      <c r="AK28" s="48" t="str">
        <f aca="false">IF(G28="x",AK$4,"")</f>
        <v/>
      </c>
      <c r="AL28" s="48" t="str">
        <f aca="false">IF(H28="x",AL$4,"")</f>
        <v/>
      </c>
      <c r="AM28" s="48" t="str">
        <f aca="false">IF(I28="x",AM$4,"")</f>
        <v/>
      </c>
      <c r="AN28" s="48" t="str">
        <f aca="false">IF(J28="x",AN$4,"")</f>
        <v/>
      </c>
      <c r="AO28" s="2"/>
      <c r="AP28" s="48" t="n">
        <f aca="false">COUNTIF(G28:J28,"=x")</f>
        <v>0</v>
      </c>
      <c r="AQ28" s="48" t="str">
        <f aca="false">IF(AP28&gt;0,AVERAGE(AK28:AN28),"")</f>
        <v/>
      </c>
      <c r="AR28" s="48" t="str">
        <f aca="false">IF(AND(AP28&gt;0,U28=1),AQ28*R28,"")</f>
        <v/>
      </c>
      <c r="AS28" s="2"/>
      <c r="AT28" s="48" t="n">
        <f aca="false">AI28*3</f>
        <v>3</v>
      </c>
      <c r="AV28" s="54"/>
      <c r="AW28" s="54"/>
    </row>
    <row r="29" customFormat="false" ht="13.2" hidden="false" customHeight="false" outlineLevel="1" collapsed="false">
      <c r="B29" s="70"/>
      <c r="C29" s="55" t="s">
        <v>44</v>
      </c>
      <c r="D29" s="56"/>
      <c r="E29" s="76"/>
      <c r="F29" s="34"/>
      <c r="G29" s="41"/>
      <c r="H29" s="41"/>
      <c r="I29" s="41"/>
      <c r="J29" s="59"/>
      <c r="K29" s="43"/>
      <c r="L29" s="43"/>
      <c r="Q29" s="43"/>
      <c r="R29" s="47" t="n">
        <v>1</v>
      </c>
      <c r="S29" s="8"/>
      <c r="U29" s="48" t="n">
        <v>1</v>
      </c>
      <c r="V29" s="48" t="n">
        <v>1</v>
      </c>
      <c r="W29" s="26" t="str">
        <f aca="false">IF(AND(U29=1,V29=0),"Bonus","")</f>
        <v/>
      </c>
      <c r="X29" s="26"/>
      <c r="Y29" s="49" t="str">
        <f aca="false">IF(U29=1,AR29,"")</f>
        <v/>
      </c>
      <c r="Z29" s="50"/>
      <c r="AA29" s="150"/>
      <c r="AB29" s="50"/>
      <c r="AC29" s="150" t="e">
        <f aca="false">IF(Y29&lt;&gt;ByStudent!Y29,Y29-ByStudent!Y29,0)</f>
        <v>#VALUE!</v>
      </c>
      <c r="AD29" s="50"/>
      <c r="AE29" s="74"/>
      <c r="AF29" s="0" t="e">
        <f aca="false">IF(AND(AC29&lt;0,AE29=""),"TODO !","")</f>
        <v>#VALUE!</v>
      </c>
      <c r="AG29" s="53"/>
      <c r="AH29" s="2"/>
      <c r="AI29" s="48" t="n">
        <f aca="false">U29*V29*R29</f>
        <v>1</v>
      </c>
      <c r="AJ29" s="2"/>
      <c r="AK29" s="48" t="str">
        <f aca="false">IF(G29="x",AK$4,"")</f>
        <v/>
      </c>
      <c r="AL29" s="48" t="str">
        <f aca="false">IF(H29="x",AL$4,"")</f>
        <v/>
      </c>
      <c r="AM29" s="48" t="str">
        <f aca="false">IF(I29="x",AM$4,"")</f>
        <v/>
      </c>
      <c r="AN29" s="48" t="str">
        <f aca="false">IF(J29="x",AN$4,"")</f>
        <v/>
      </c>
      <c r="AO29" s="2"/>
      <c r="AP29" s="48" t="n">
        <f aca="false">COUNTIF(G29:J29,"=x")</f>
        <v>0</v>
      </c>
      <c r="AQ29" s="48" t="str">
        <f aca="false">IF(AP29&gt;0,AVERAGE(AK29:AN29),"")</f>
        <v/>
      </c>
      <c r="AR29" s="48" t="str">
        <f aca="false">IF(AND(AP29&gt;0,U29=1),AQ29*R29,"")</f>
        <v/>
      </c>
      <c r="AS29" s="2"/>
      <c r="AT29" s="48" t="n">
        <f aca="false">AI29*3</f>
        <v>3</v>
      </c>
      <c r="AV29" s="54"/>
      <c r="AW29" s="54"/>
    </row>
    <row r="30" customFormat="false" ht="13.2" hidden="false" customHeight="false" outlineLevel="0" collapsed="false">
      <c r="G30" s="78"/>
      <c r="H30" s="78"/>
      <c r="I30" s="78"/>
      <c r="J30" s="78"/>
      <c r="U30" s="2"/>
      <c r="V30" s="2"/>
      <c r="W30" s="26"/>
      <c r="X30" s="26"/>
      <c r="Y30" s="65" t="str">
        <f aca="false">IF(U30=1,AR30,"")</f>
        <v/>
      </c>
      <c r="Z30" s="80"/>
      <c r="AA30" s="80"/>
      <c r="AB30" s="80"/>
      <c r="AC30" s="50"/>
      <c r="AD30" s="80"/>
      <c r="AE30" s="73"/>
      <c r="AF30" s="0" t="str">
        <f aca="false">IF(AND(AC30&lt;0,AE30=""),"TODO !","")</f>
        <v/>
      </c>
      <c r="AH30" s="2"/>
      <c r="AI30" s="2"/>
      <c r="AJ30" s="2"/>
      <c r="AK30" s="2" t="str">
        <f aca="false">IF(G30="x",AK$4,"")</f>
        <v/>
      </c>
      <c r="AL30" s="2" t="str">
        <f aca="false">IF(H30="x",AL$4,"")</f>
        <v/>
      </c>
      <c r="AM30" s="2" t="str">
        <f aca="false">IF(I30="x",AM$4,"")</f>
        <v/>
      </c>
      <c r="AN30" s="2" t="str">
        <f aca="false">IF(J30="x",AN$4,"")</f>
        <v/>
      </c>
      <c r="AO30" s="2"/>
      <c r="AP30" s="2"/>
      <c r="AQ30" s="2" t="str">
        <f aca="false">IF(AP30&gt;0,AVERAGE(AK30:AN30),"")</f>
        <v/>
      </c>
      <c r="AR30" s="2"/>
      <c r="AS30" s="2"/>
      <c r="AT30" s="2"/>
    </row>
    <row r="31" customFormat="false" ht="13.2" hidden="false" customHeight="false" outlineLevel="0" collapsed="false">
      <c r="G31" s="78"/>
      <c r="H31" s="78"/>
      <c r="I31" s="78"/>
      <c r="J31" s="78"/>
      <c r="U31" s="2"/>
      <c r="V31" s="2"/>
      <c r="W31" s="26"/>
      <c r="X31" s="26"/>
      <c r="Y31" s="65" t="str">
        <f aca="false">IF(U31=1,AR31,"")</f>
        <v/>
      </c>
      <c r="Z31" s="80"/>
      <c r="AA31" s="80"/>
      <c r="AB31" s="80"/>
      <c r="AC31" s="50"/>
      <c r="AD31" s="80"/>
      <c r="AE31" s="73"/>
      <c r="AF31" s="0" t="str">
        <f aca="false">IF(AND(AC31&lt;0,AE31=""),"TODO !","")</f>
        <v/>
      </c>
      <c r="AH31" s="2"/>
      <c r="AI31" s="2"/>
      <c r="AJ31" s="2"/>
      <c r="AK31" s="2" t="str">
        <f aca="false">IF(G31="x",AK$4,"")</f>
        <v/>
      </c>
      <c r="AL31" s="2" t="str">
        <f aca="false">IF(H31="x",AL$4,"")</f>
        <v/>
      </c>
      <c r="AM31" s="2" t="str">
        <f aca="false">IF(I31="x",AM$4,"")</f>
        <v/>
      </c>
      <c r="AN31" s="2" t="str">
        <f aca="false">IF(J31="x",AN$4,"")</f>
        <v/>
      </c>
      <c r="AO31" s="2"/>
      <c r="AP31" s="2"/>
      <c r="AQ31" s="2" t="str">
        <f aca="false">IF(AP31&gt;0,AVERAGE(AK31:AN31),"")</f>
        <v/>
      </c>
      <c r="AR31" s="2"/>
      <c r="AS31" s="2"/>
      <c r="AT31" s="2"/>
    </row>
    <row r="32" customFormat="false" ht="13.2" hidden="false" customHeight="true" outlineLevel="0" collapsed="false">
      <c r="B32" s="91" t="s">
        <v>46</v>
      </c>
      <c r="C32" s="38" t="s">
        <v>47</v>
      </c>
      <c r="D32" s="39" t="s">
        <v>48</v>
      </c>
      <c r="E32" s="92" t="s">
        <v>49</v>
      </c>
      <c r="F32" s="34"/>
      <c r="G32" s="41"/>
      <c r="H32" s="41"/>
      <c r="I32" s="42"/>
      <c r="J32" s="41"/>
      <c r="K32" s="43"/>
      <c r="L32" s="43"/>
      <c r="Q32" s="43"/>
      <c r="R32" s="77" t="n">
        <v>1</v>
      </c>
      <c r="S32" s="8" t="n">
        <f aca="false">SUM(R32:R44)</f>
        <v>22</v>
      </c>
      <c r="U32" s="48" t="n">
        <v>1</v>
      </c>
      <c r="V32" s="48" t="n">
        <v>1</v>
      </c>
      <c r="W32" s="26" t="str">
        <f aca="false">IF(AND(U32=1,V32=0),"Bonus","")</f>
        <v/>
      </c>
      <c r="X32" s="26"/>
      <c r="Y32" s="49" t="str">
        <f aca="false">IF(U32=1,AR32,"")</f>
        <v/>
      </c>
      <c r="Z32" s="50"/>
      <c r="AA32" s="150"/>
      <c r="AB32" s="50"/>
      <c r="AC32" s="150" t="e">
        <f aca="false">IF(Y32&lt;&gt;ByStudent!Y32,Y32-ByStudent!Y32,0)</f>
        <v>#VALUE!</v>
      </c>
      <c r="AD32" s="50"/>
      <c r="AE32" s="74"/>
      <c r="AF32" s="0" t="e">
        <f aca="false">IF(AND(AC32&lt;0,AE32=""),"TODO !","")</f>
        <v>#VALUE!</v>
      </c>
      <c r="AG32" s="53" t="s">
        <v>50</v>
      </c>
      <c r="AH32" s="2"/>
      <c r="AI32" s="48" t="n">
        <f aca="false">U32*V32*R32</f>
        <v>1</v>
      </c>
      <c r="AJ32" s="2"/>
      <c r="AK32" s="48" t="str">
        <f aca="false">IF(G32="x",AK$4,"")</f>
        <v/>
      </c>
      <c r="AL32" s="48" t="str">
        <f aca="false">IF(H32="x",AL$4,"")</f>
        <v/>
      </c>
      <c r="AM32" s="48" t="str">
        <f aca="false">IF(I32="x",AM$4,"")</f>
        <v/>
      </c>
      <c r="AN32" s="48" t="str">
        <f aca="false">IF(J32="x",AN$4,"")</f>
        <v/>
      </c>
      <c r="AO32" s="2"/>
      <c r="AP32" s="48" t="n">
        <f aca="false">COUNTIF(G32:J32,"=x")</f>
        <v>0</v>
      </c>
      <c r="AQ32" s="48" t="str">
        <f aca="false">IF(AP32&gt;0,AVERAGE(AK32:AN32),"")</f>
        <v/>
      </c>
      <c r="AR32" s="48" t="str">
        <f aca="false">IF(AND(AP32&gt;0,U32=1),AQ32*R32,"")</f>
        <v/>
      </c>
      <c r="AS32" s="2"/>
      <c r="AT32" s="48" t="n">
        <f aca="false">AI32*3</f>
        <v>3</v>
      </c>
      <c r="AV32" s="54" t="n">
        <f aca="false">SUM(AR32:AR44)</f>
        <v>0</v>
      </c>
      <c r="AW32" s="54" t="n">
        <f aca="false">SUM(AT32:AT44)</f>
        <v>66</v>
      </c>
    </row>
    <row r="33" customFormat="false" ht="13.2" hidden="false" customHeight="false" outlineLevel="0" collapsed="false">
      <c r="B33" s="91"/>
      <c r="C33" s="82"/>
      <c r="D33" s="34" t="s">
        <v>48</v>
      </c>
      <c r="E33" s="93" t="s">
        <v>51</v>
      </c>
      <c r="F33" s="34"/>
      <c r="G33" s="41"/>
      <c r="H33" s="41"/>
      <c r="I33" s="42"/>
      <c r="J33" s="41"/>
      <c r="K33" s="43"/>
      <c r="L33" s="43"/>
      <c r="Q33" s="43"/>
      <c r="R33" s="77" t="n">
        <v>4</v>
      </c>
      <c r="S33" s="8"/>
      <c r="U33" s="48" t="n">
        <v>1</v>
      </c>
      <c r="V33" s="48" t="n">
        <v>1</v>
      </c>
      <c r="W33" s="26" t="str">
        <f aca="false">IF(AND(U33=1,V33=0),"Bonus","")</f>
        <v/>
      </c>
      <c r="X33" s="26"/>
      <c r="Y33" s="49" t="str">
        <f aca="false">IF(U33=1,AR33,"")</f>
        <v/>
      </c>
      <c r="Z33" s="50"/>
      <c r="AA33" s="150"/>
      <c r="AB33" s="50"/>
      <c r="AC33" s="150" t="e">
        <f aca="false">IF(Y33&lt;&gt;ByStudent!Y33,Y33-ByStudent!Y33,0)</f>
        <v>#VALUE!</v>
      </c>
      <c r="AD33" s="50"/>
      <c r="AE33" s="74"/>
      <c r="AF33" s="0" t="e">
        <f aca="false">IF(AND(AC33&lt;0,AE33=""),"TODO !","")</f>
        <v>#VALUE!</v>
      </c>
      <c r="AG33" s="53"/>
      <c r="AH33" s="2"/>
      <c r="AI33" s="48" t="n">
        <f aca="false">U33*V33*R33</f>
        <v>4</v>
      </c>
      <c r="AJ33" s="2"/>
      <c r="AK33" s="48" t="str">
        <f aca="false">IF(G33="x",AK$4,"")</f>
        <v/>
      </c>
      <c r="AL33" s="48" t="str">
        <f aca="false">IF(H33="x",AL$4,"")</f>
        <v/>
      </c>
      <c r="AM33" s="48" t="str">
        <f aca="false">IF(I33="x",AM$4,"")</f>
        <v/>
      </c>
      <c r="AN33" s="48" t="str">
        <f aca="false">IF(J33="x",AN$4,"")</f>
        <v/>
      </c>
      <c r="AO33" s="2"/>
      <c r="AP33" s="48" t="n">
        <f aca="false">COUNTIF(G33:J33,"=x")</f>
        <v>0</v>
      </c>
      <c r="AQ33" s="48" t="str">
        <f aca="false">IF(AP33&gt;0,AVERAGE(AK33:AN33),"")</f>
        <v/>
      </c>
      <c r="AR33" s="48" t="str">
        <f aca="false">IF(AND(AP33&gt;0,U33=1),AQ33*R33,"")</f>
        <v/>
      </c>
      <c r="AS33" s="2"/>
      <c r="AT33" s="48" t="n">
        <f aca="false">AI33*3</f>
        <v>12</v>
      </c>
      <c r="AV33" s="54"/>
      <c r="AW33" s="54"/>
    </row>
    <row r="34" customFormat="false" ht="13.2" hidden="false" customHeight="false" outlineLevel="0" collapsed="false">
      <c r="B34" s="91"/>
      <c r="C34" s="82"/>
      <c r="D34" s="34"/>
      <c r="E34" s="93"/>
      <c r="F34" s="34"/>
      <c r="G34" s="63"/>
      <c r="H34" s="63"/>
      <c r="I34" s="63"/>
      <c r="J34" s="63"/>
      <c r="K34" s="43"/>
      <c r="L34" s="43"/>
      <c r="Q34" s="43"/>
      <c r="R34" s="21"/>
      <c r="S34" s="8"/>
      <c r="U34" s="2"/>
      <c r="V34" s="2"/>
      <c r="W34" s="26"/>
      <c r="X34" s="26"/>
      <c r="Y34" s="65"/>
      <c r="Z34" s="50"/>
      <c r="AA34" s="50"/>
      <c r="AB34" s="50"/>
      <c r="AC34" s="50"/>
      <c r="AD34" s="50"/>
      <c r="AE34" s="73"/>
      <c r="AF34" s="0" t="str">
        <f aca="false">IF(AND(AC34&lt;0,AE34=""),"TODO !","")</f>
        <v/>
      </c>
      <c r="AG34" s="53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V34" s="54"/>
      <c r="AW34" s="54"/>
    </row>
    <row r="35" customFormat="false" ht="13.2" hidden="false" customHeight="false" outlineLevel="0" collapsed="false">
      <c r="B35" s="91"/>
      <c r="C35" s="82" t="s">
        <v>47</v>
      </c>
      <c r="D35" s="34" t="s">
        <v>48</v>
      </c>
      <c r="E35" s="94" t="s">
        <v>52</v>
      </c>
      <c r="F35" s="34"/>
      <c r="G35" s="41"/>
      <c r="H35" s="41"/>
      <c r="I35" s="41"/>
      <c r="J35" s="59"/>
      <c r="K35" s="43"/>
      <c r="L35" s="43"/>
      <c r="Q35" s="43"/>
      <c r="R35" s="47" t="n">
        <v>1</v>
      </c>
      <c r="S35" s="8"/>
      <c r="U35" s="48" t="n">
        <v>1</v>
      </c>
      <c r="V35" s="48" t="n">
        <v>1</v>
      </c>
      <c r="W35" s="26" t="str">
        <f aca="false">IF(AND(U35=1,V35=0),"Bonus","")</f>
        <v/>
      </c>
      <c r="X35" s="26"/>
      <c r="Y35" s="49" t="str">
        <f aca="false">IF(U35=1,AR35,"")</f>
        <v/>
      </c>
      <c r="Z35" s="50"/>
      <c r="AA35" s="150"/>
      <c r="AB35" s="50"/>
      <c r="AC35" s="150" t="e">
        <f aca="false">IF(Y35&lt;&gt;ByStudent!Y35,Y35-ByStudent!Y35,0)</f>
        <v>#VALUE!</v>
      </c>
      <c r="AD35" s="50"/>
      <c r="AE35" s="74"/>
      <c r="AF35" s="0" t="e">
        <f aca="false">IF(AND(AC35&lt;0,AE35=""),"TODO !","")</f>
        <v>#VALUE!</v>
      </c>
      <c r="AG35" s="53"/>
      <c r="AH35" s="2"/>
      <c r="AI35" s="48" t="n">
        <f aca="false">U35*V35*R35</f>
        <v>1</v>
      </c>
      <c r="AJ35" s="2"/>
      <c r="AK35" s="48" t="str">
        <f aca="false">IF(G35="x",AK$4,"")</f>
        <v/>
      </c>
      <c r="AL35" s="48" t="str">
        <f aca="false">IF(H35="x",AL$4,"")</f>
        <v/>
      </c>
      <c r="AM35" s="48" t="str">
        <f aca="false">IF(I35="x",AM$4,"")</f>
        <v/>
      </c>
      <c r="AN35" s="48" t="str">
        <f aca="false">IF(J35="x",AN$4,"")</f>
        <v/>
      </c>
      <c r="AO35" s="2"/>
      <c r="AP35" s="48" t="n">
        <f aca="false">COUNTIF(G35:J35,"=x")</f>
        <v>0</v>
      </c>
      <c r="AQ35" s="48" t="str">
        <f aca="false">IF(AP35&gt;0,AVERAGE(AK35:AN35),"")</f>
        <v/>
      </c>
      <c r="AR35" s="48" t="str">
        <f aca="false">IF(AND(AP35&gt;0,U35=1),AQ35*R35,"")</f>
        <v/>
      </c>
      <c r="AS35" s="2"/>
      <c r="AT35" s="48" t="n">
        <f aca="false">AI35*3</f>
        <v>3</v>
      </c>
      <c r="AV35" s="54"/>
      <c r="AW35" s="54"/>
    </row>
    <row r="36" customFormat="false" ht="13.2" hidden="false" customHeight="false" outlineLevel="0" collapsed="false">
      <c r="B36" s="91"/>
      <c r="C36" s="82"/>
      <c r="D36" s="34" t="s">
        <v>48</v>
      </c>
      <c r="E36" s="94" t="s">
        <v>53</v>
      </c>
      <c r="F36" s="34"/>
      <c r="G36" s="41"/>
      <c r="H36" s="41"/>
      <c r="I36" s="41"/>
      <c r="J36" s="59"/>
      <c r="K36" s="43"/>
      <c r="L36" s="43"/>
      <c r="Q36" s="43"/>
      <c r="R36" s="47" t="n">
        <v>2</v>
      </c>
      <c r="S36" s="8"/>
      <c r="U36" s="48" t="n">
        <v>1</v>
      </c>
      <c r="V36" s="48" t="n">
        <v>1</v>
      </c>
      <c r="W36" s="26" t="str">
        <f aca="false">IF(AND(U36=1,V36=0),"Bonus","")</f>
        <v/>
      </c>
      <c r="X36" s="26"/>
      <c r="Y36" s="49" t="str">
        <f aca="false">IF(U36=1,AR36,"")</f>
        <v/>
      </c>
      <c r="Z36" s="50"/>
      <c r="AA36" s="150"/>
      <c r="AB36" s="50"/>
      <c r="AC36" s="150" t="e">
        <f aca="false">IF(Y36&lt;&gt;ByStudent!Y36,Y36-ByStudent!Y36,0)</f>
        <v>#VALUE!</v>
      </c>
      <c r="AD36" s="50"/>
      <c r="AE36" s="74"/>
      <c r="AF36" s="0" t="e">
        <f aca="false">IF(AND(AC36&lt;0,AE36=""),"TODO !","")</f>
        <v>#VALUE!</v>
      </c>
      <c r="AG36" s="53"/>
      <c r="AH36" s="2"/>
      <c r="AI36" s="48" t="n">
        <f aca="false">U36*V36*R36</f>
        <v>2</v>
      </c>
      <c r="AJ36" s="2"/>
      <c r="AK36" s="48" t="str">
        <f aca="false">IF(G36="x",AK$4,"")</f>
        <v/>
      </c>
      <c r="AL36" s="48" t="str">
        <f aca="false">IF(H36="x",AL$4,"")</f>
        <v/>
      </c>
      <c r="AM36" s="48" t="str">
        <f aca="false">IF(I36="x",AM$4,"")</f>
        <v/>
      </c>
      <c r="AN36" s="48" t="str">
        <f aca="false">IF(J36="x",AN$4,"")</f>
        <v/>
      </c>
      <c r="AO36" s="2"/>
      <c r="AP36" s="48" t="n">
        <f aca="false">COUNTIF(G36:J36,"=x")</f>
        <v>0</v>
      </c>
      <c r="AQ36" s="48" t="str">
        <f aca="false">IF(AP36&gt;0,AVERAGE(AK36:AN36),"")</f>
        <v/>
      </c>
      <c r="AR36" s="48" t="str">
        <f aca="false">IF(AND(AP36&gt;0,U36=1),AQ36*R36,"")</f>
        <v/>
      </c>
      <c r="AS36" s="2"/>
      <c r="AT36" s="48" t="n">
        <f aca="false">AI36*3</f>
        <v>6</v>
      </c>
      <c r="AV36" s="54"/>
      <c r="AW36" s="54"/>
    </row>
    <row r="37" customFormat="false" ht="13.2" hidden="false" customHeight="false" outlineLevel="0" collapsed="false">
      <c r="B37" s="91"/>
      <c r="C37" s="95"/>
      <c r="E37" s="96"/>
      <c r="F37" s="34"/>
      <c r="G37" s="78"/>
      <c r="H37" s="78"/>
      <c r="I37" s="78"/>
      <c r="J37" s="63"/>
      <c r="K37" s="43"/>
      <c r="L37" s="43"/>
      <c r="Q37" s="43"/>
      <c r="R37" s="21"/>
      <c r="S37" s="8"/>
      <c r="W37" s="26"/>
      <c r="X37" s="26"/>
      <c r="Y37" s="65"/>
      <c r="Z37" s="50"/>
      <c r="AA37" s="50"/>
      <c r="AB37" s="50"/>
      <c r="AC37" s="50"/>
      <c r="AD37" s="50"/>
      <c r="AE37" s="73"/>
      <c r="AF37" s="0" t="str">
        <f aca="false">IF(AND(AC37&lt;0,AE37=""),"TODO !","")</f>
        <v/>
      </c>
      <c r="AG37" s="53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V37" s="54"/>
      <c r="AW37" s="54"/>
    </row>
    <row r="38" customFormat="false" ht="13.2" hidden="false" customHeight="false" outlineLevel="0" collapsed="false">
      <c r="B38" s="91"/>
      <c r="C38" s="82" t="s">
        <v>54</v>
      </c>
      <c r="D38" s="34" t="s">
        <v>48</v>
      </c>
      <c r="E38" s="93" t="s">
        <v>49</v>
      </c>
      <c r="F38" s="50"/>
      <c r="G38" s="41"/>
      <c r="H38" s="41"/>
      <c r="I38" s="42"/>
      <c r="J38" s="41"/>
      <c r="K38" s="43"/>
      <c r="L38" s="43"/>
      <c r="Q38" s="43"/>
      <c r="R38" s="47" t="n">
        <v>1</v>
      </c>
      <c r="S38" s="8"/>
      <c r="U38" s="48" t="n">
        <v>1</v>
      </c>
      <c r="V38" s="48" t="n">
        <v>1</v>
      </c>
      <c r="W38" s="26" t="str">
        <f aca="false">IF(AND(U38=1,V38=0),"Bonus","")</f>
        <v/>
      </c>
      <c r="X38" s="26"/>
      <c r="Y38" s="49" t="str">
        <f aca="false">IF(U38=1,AR38,"")</f>
        <v/>
      </c>
      <c r="Z38" s="50"/>
      <c r="AA38" s="150"/>
      <c r="AB38" s="50"/>
      <c r="AC38" s="150" t="e">
        <f aca="false">IF(Y38&lt;&gt;ByStudent!Y38,Y38-ByStudent!Y38,0)</f>
        <v>#VALUE!</v>
      </c>
      <c r="AD38" s="50"/>
      <c r="AE38" s="74"/>
      <c r="AF38" s="0" t="e">
        <f aca="false">IF(AND(AC38&lt;0,AE38=""),"TODO !","")</f>
        <v>#VALUE!</v>
      </c>
      <c r="AG38" s="53"/>
      <c r="AH38" s="2"/>
      <c r="AI38" s="48" t="n">
        <f aca="false">U38*V38*R38</f>
        <v>1</v>
      </c>
      <c r="AJ38" s="2"/>
      <c r="AK38" s="48" t="str">
        <f aca="false">IF(G38="x",AK$4,"")</f>
        <v/>
      </c>
      <c r="AL38" s="48" t="str">
        <f aca="false">IF(H38="x",AL$4,"")</f>
        <v/>
      </c>
      <c r="AM38" s="48" t="str">
        <f aca="false">IF(I38="x",AM$4,"")</f>
        <v/>
      </c>
      <c r="AN38" s="48" t="str">
        <f aca="false">IF(J38="x",AN$4,"")</f>
        <v/>
      </c>
      <c r="AO38" s="2"/>
      <c r="AP38" s="48" t="n">
        <f aca="false">COUNTIF(G38:J38,"=x")</f>
        <v>0</v>
      </c>
      <c r="AQ38" s="48" t="str">
        <f aca="false">IF(AP38&gt;0,AVERAGE(AK38:AN38),"")</f>
        <v/>
      </c>
      <c r="AR38" s="48" t="str">
        <f aca="false">IF(AND(AP38&gt;0,U38=1),AQ38*R38,"")</f>
        <v/>
      </c>
      <c r="AS38" s="2"/>
      <c r="AT38" s="48" t="n">
        <f aca="false">AI38*3</f>
        <v>3</v>
      </c>
      <c r="AV38" s="54"/>
      <c r="AW38" s="54"/>
    </row>
    <row r="39" customFormat="false" ht="13.2" hidden="false" customHeight="false" outlineLevel="0" collapsed="false">
      <c r="B39" s="91"/>
      <c r="C39" s="82"/>
      <c r="D39" s="34" t="s">
        <v>48</v>
      </c>
      <c r="E39" s="93" t="s">
        <v>51</v>
      </c>
      <c r="F39" s="50"/>
      <c r="G39" s="41"/>
      <c r="H39" s="41"/>
      <c r="I39" s="42"/>
      <c r="J39" s="41"/>
      <c r="K39" s="43"/>
      <c r="L39" s="43"/>
      <c r="Q39" s="43"/>
      <c r="R39" s="47" t="n">
        <v>4</v>
      </c>
      <c r="S39" s="8"/>
      <c r="U39" s="48" t="n">
        <v>1</v>
      </c>
      <c r="V39" s="48" t="n">
        <v>1</v>
      </c>
      <c r="W39" s="26" t="str">
        <f aca="false">IF(AND(U39=1,V39=0),"Bonus","")</f>
        <v/>
      </c>
      <c r="X39" s="26"/>
      <c r="Y39" s="49" t="str">
        <f aca="false">IF(U39=1,AR39,"")</f>
        <v/>
      </c>
      <c r="Z39" s="50"/>
      <c r="AA39" s="150"/>
      <c r="AB39" s="50"/>
      <c r="AC39" s="150" t="e">
        <f aca="false">IF(Y39&lt;&gt;ByStudent!Y39,Y39-ByStudent!Y39,0)</f>
        <v>#VALUE!</v>
      </c>
      <c r="AD39" s="50"/>
      <c r="AE39" s="74"/>
      <c r="AF39" s="0" t="e">
        <f aca="false">IF(AND(AC39&lt;0,AE39=""),"TODO !","")</f>
        <v>#VALUE!</v>
      </c>
      <c r="AG39" s="53"/>
      <c r="AH39" s="2"/>
      <c r="AI39" s="48" t="n">
        <f aca="false">U39*V39*R39</f>
        <v>4</v>
      </c>
      <c r="AJ39" s="2"/>
      <c r="AK39" s="48" t="str">
        <f aca="false">IF(G39="x",AK$4,"")</f>
        <v/>
      </c>
      <c r="AL39" s="48" t="str">
        <f aca="false">IF(H39="x",AL$4,"")</f>
        <v/>
      </c>
      <c r="AM39" s="48" t="str">
        <f aca="false">IF(I39="x",AM$4,"")</f>
        <v/>
      </c>
      <c r="AN39" s="48" t="str">
        <f aca="false">IF(J39="x",AN$4,"")</f>
        <v/>
      </c>
      <c r="AO39" s="2"/>
      <c r="AP39" s="48" t="n">
        <f aca="false">COUNTIF(G39:J39,"=x")</f>
        <v>0</v>
      </c>
      <c r="AQ39" s="48" t="str">
        <f aca="false">IF(AP39&gt;0,AVERAGE(AK39:AN39),"")</f>
        <v/>
      </c>
      <c r="AR39" s="48" t="str">
        <f aca="false">IF(AND(AP39&gt;0,U39=1),AQ39*R39,"")</f>
        <v/>
      </c>
      <c r="AS39" s="2"/>
      <c r="AT39" s="48" t="n">
        <f aca="false">AI39*3</f>
        <v>12</v>
      </c>
      <c r="AV39" s="54"/>
      <c r="AW39" s="54"/>
    </row>
    <row r="40" customFormat="false" ht="13.2" hidden="false" customHeight="false" outlineLevel="0" collapsed="false">
      <c r="B40" s="91"/>
      <c r="C40" s="82"/>
      <c r="D40" s="34" t="s">
        <v>55</v>
      </c>
      <c r="E40" s="93" t="s">
        <v>51</v>
      </c>
      <c r="F40" s="50"/>
      <c r="G40" s="41"/>
      <c r="H40" s="41"/>
      <c r="I40" s="42"/>
      <c r="J40" s="41"/>
      <c r="K40" s="43"/>
      <c r="L40" s="43"/>
      <c r="Q40" s="43"/>
      <c r="R40" s="47" t="n">
        <v>2</v>
      </c>
      <c r="S40" s="8"/>
      <c r="U40" s="48" t="n">
        <v>1</v>
      </c>
      <c r="V40" s="48" t="n">
        <v>1</v>
      </c>
      <c r="W40" s="26" t="str">
        <f aca="false">IF(AND(U40=1,V40=0),"Bonus","")</f>
        <v/>
      </c>
      <c r="X40" s="26"/>
      <c r="Y40" s="49" t="str">
        <f aca="false">IF(U40=1,AR40,"")</f>
        <v/>
      </c>
      <c r="Z40" s="50"/>
      <c r="AA40" s="150"/>
      <c r="AB40" s="50"/>
      <c r="AC40" s="150" t="e">
        <f aca="false">IF(Y40&lt;&gt;ByStudent!Y40,Y40-ByStudent!Y40,0)</f>
        <v>#VALUE!</v>
      </c>
      <c r="AD40" s="50"/>
      <c r="AE40" s="74"/>
      <c r="AF40" s="0" t="e">
        <f aca="false">IF(AND(AC40&lt;0,AE40=""),"TODO !","")</f>
        <v>#VALUE!</v>
      </c>
      <c r="AG40" s="53"/>
      <c r="AH40" s="2"/>
      <c r="AI40" s="48" t="n">
        <f aca="false">U40*V40*R40</f>
        <v>2</v>
      </c>
      <c r="AJ40" s="2"/>
      <c r="AK40" s="48" t="str">
        <f aca="false">IF(G40="x",AK$4,"")</f>
        <v/>
      </c>
      <c r="AL40" s="48" t="str">
        <f aca="false">IF(H40="x",AL$4,"")</f>
        <v/>
      </c>
      <c r="AM40" s="48" t="str">
        <f aca="false">IF(I40="x",AM$4,"")</f>
        <v/>
      </c>
      <c r="AN40" s="48" t="str">
        <f aca="false">IF(J40="x",AN$4,"")</f>
        <v/>
      </c>
      <c r="AO40" s="2"/>
      <c r="AP40" s="48" t="n">
        <f aca="false">COUNTIF(G40:J40,"=x")</f>
        <v>0</v>
      </c>
      <c r="AQ40" s="48" t="str">
        <f aca="false">IF(AP40&gt;0,AVERAGE(AK40:AN40),"")</f>
        <v/>
      </c>
      <c r="AR40" s="48" t="str">
        <f aca="false">IF(AND(AP40&gt;0,U40=1),AQ40*R40,"")</f>
        <v/>
      </c>
      <c r="AS40" s="2"/>
      <c r="AT40" s="48" t="n">
        <f aca="false">AI40*3</f>
        <v>6</v>
      </c>
      <c r="AV40" s="54"/>
      <c r="AW40" s="54"/>
    </row>
    <row r="41" customFormat="false" ht="13.2" hidden="false" customHeight="false" outlineLevel="0" collapsed="false">
      <c r="B41" s="91"/>
      <c r="C41" s="82"/>
      <c r="D41" s="34"/>
      <c r="E41" s="93"/>
      <c r="F41" s="34"/>
      <c r="G41" s="63"/>
      <c r="H41" s="63"/>
      <c r="I41" s="63"/>
      <c r="J41" s="63"/>
      <c r="K41" s="43"/>
      <c r="L41" s="43"/>
      <c r="Q41" s="43"/>
      <c r="R41" s="21"/>
      <c r="S41" s="8"/>
      <c r="U41" s="2"/>
      <c r="V41" s="2"/>
      <c r="W41" s="26"/>
      <c r="X41" s="26"/>
      <c r="Y41" s="65"/>
      <c r="Z41" s="50"/>
      <c r="AA41" s="50"/>
      <c r="AB41" s="50"/>
      <c r="AC41" s="50"/>
      <c r="AD41" s="50"/>
      <c r="AE41" s="73"/>
      <c r="AF41" s="0" t="str">
        <f aca="false">IF(AND(AC41&lt;0,AE41=""),"TODO !","")</f>
        <v/>
      </c>
      <c r="AG41" s="53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V41" s="54"/>
      <c r="AW41" s="54"/>
    </row>
    <row r="42" customFormat="false" ht="13.2" hidden="false" customHeight="false" outlineLevel="0" collapsed="false">
      <c r="B42" s="91"/>
      <c r="C42" s="82" t="s">
        <v>54</v>
      </c>
      <c r="D42" s="34" t="s">
        <v>48</v>
      </c>
      <c r="E42" s="94" t="s">
        <v>52</v>
      </c>
      <c r="F42" s="34"/>
      <c r="G42" s="41"/>
      <c r="H42" s="41"/>
      <c r="I42" s="41"/>
      <c r="J42" s="59"/>
      <c r="K42" s="43"/>
      <c r="L42" s="43"/>
      <c r="Q42" s="43"/>
      <c r="R42" s="77" t="n">
        <v>1</v>
      </c>
      <c r="S42" s="8"/>
      <c r="U42" s="48" t="n">
        <v>1</v>
      </c>
      <c r="V42" s="48" t="n">
        <v>1</v>
      </c>
      <c r="W42" s="26" t="str">
        <f aca="false">IF(AND(U42=1,V42=0),"Bonus","")</f>
        <v/>
      </c>
      <c r="X42" s="26"/>
      <c r="Y42" s="49" t="str">
        <f aca="false">IF(U42=1,AR42,"")</f>
        <v/>
      </c>
      <c r="Z42" s="50"/>
      <c r="AA42" s="150"/>
      <c r="AB42" s="50"/>
      <c r="AC42" s="150" t="e">
        <f aca="false">IF(Y42&lt;&gt;ByStudent!Y42,Y42-ByStudent!Y42,0)</f>
        <v>#VALUE!</v>
      </c>
      <c r="AD42" s="50"/>
      <c r="AE42" s="74"/>
      <c r="AF42" s="0" t="e">
        <f aca="false">IF(AND(AC42&lt;0,AE42=""),"TODO !","")</f>
        <v>#VALUE!</v>
      </c>
      <c r="AG42" s="53"/>
      <c r="AH42" s="2"/>
      <c r="AI42" s="48" t="n">
        <f aca="false">U42*V42*R42</f>
        <v>1</v>
      </c>
      <c r="AJ42" s="2"/>
      <c r="AK42" s="48" t="str">
        <f aca="false">IF(G42="x",AK$4,"")</f>
        <v/>
      </c>
      <c r="AL42" s="48" t="str">
        <f aca="false">IF(H42="x",AL$4,"")</f>
        <v/>
      </c>
      <c r="AM42" s="48" t="str">
        <f aca="false">IF(I42="x",AM$4,"")</f>
        <v/>
      </c>
      <c r="AN42" s="48" t="str">
        <f aca="false">IF(J42="x",AN$4,"")</f>
        <v/>
      </c>
      <c r="AO42" s="2"/>
      <c r="AP42" s="48" t="n">
        <f aca="false">COUNTIF(G42:J42,"=x")</f>
        <v>0</v>
      </c>
      <c r="AQ42" s="48" t="str">
        <f aca="false">IF(AP42&gt;0,AVERAGE(AK42:AN42),"")</f>
        <v/>
      </c>
      <c r="AR42" s="48" t="str">
        <f aca="false">IF(AND(AP42&gt;0,U42=1),AQ42*R42,"")</f>
        <v/>
      </c>
      <c r="AS42" s="2"/>
      <c r="AT42" s="48" t="n">
        <f aca="false">AI42*3</f>
        <v>3</v>
      </c>
      <c r="AV42" s="54"/>
      <c r="AW42" s="54"/>
    </row>
    <row r="43" customFormat="false" ht="13.2" hidden="false" customHeight="false" outlineLevel="0" collapsed="false">
      <c r="B43" s="91"/>
      <c r="C43" s="82"/>
      <c r="D43" s="34" t="s">
        <v>48</v>
      </c>
      <c r="E43" s="94" t="s">
        <v>53</v>
      </c>
      <c r="F43" s="34"/>
      <c r="G43" s="41"/>
      <c r="H43" s="41"/>
      <c r="I43" s="41"/>
      <c r="J43" s="59"/>
      <c r="K43" s="43"/>
      <c r="L43" s="43"/>
      <c r="Q43" s="43"/>
      <c r="R43" s="77" t="n">
        <v>2</v>
      </c>
      <c r="S43" s="8"/>
      <c r="U43" s="48" t="n">
        <v>1</v>
      </c>
      <c r="V43" s="48" t="n">
        <v>1</v>
      </c>
      <c r="W43" s="26" t="str">
        <f aca="false">IF(AND(U43=1,V43=0),"Bonus","")</f>
        <v/>
      </c>
      <c r="X43" s="26"/>
      <c r="Y43" s="49" t="str">
        <f aca="false">IF(U43=1,AR43,"")</f>
        <v/>
      </c>
      <c r="Z43" s="50"/>
      <c r="AA43" s="150"/>
      <c r="AB43" s="50"/>
      <c r="AC43" s="150" t="e">
        <f aca="false">IF(Y43&lt;&gt;ByStudent!Y43,Y43-ByStudent!Y43,0)</f>
        <v>#VALUE!</v>
      </c>
      <c r="AD43" s="50"/>
      <c r="AE43" s="74"/>
      <c r="AF43" s="0" t="e">
        <f aca="false">IF(AND(AC43&lt;0,AE43=""),"TODO !","")</f>
        <v>#VALUE!</v>
      </c>
      <c r="AG43" s="53"/>
      <c r="AH43" s="2"/>
      <c r="AI43" s="48" t="n">
        <f aca="false">U43*V43*R43</f>
        <v>2</v>
      </c>
      <c r="AJ43" s="2"/>
      <c r="AK43" s="48" t="str">
        <f aca="false">IF(G43="x",AK$4,"")</f>
        <v/>
      </c>
      <c r="AL43" s="48" t="str">
        <f aca="false">IF(H43="x",AL$4,"")</f>
        <v/>
      </c>
      <c r="AM43" s="48" t="str">
        <f aca="false">IF(I43="x",AM$4,"")</f>
        <v/>
      </c>
      <c r="AN43" s="48" t="str">
        <f aca="false">IF(J43="x",AN$4,"")</f>
        <v/>
      </c>
      <c r="AO43" s="2"/>
      <c r="AP43" s="48" t="n">
        <f aca="false">COUNTIF(G43:J43,"=x")</f>
        <v>0</v>
      </c>
      <c r="AQ43" s="48" t="str">
        <f aca="false">IF(AP43&gt;0,AVERAGE(AK43:AN43),"")</f>
        <v/>
      </c>
      <c r="AR43" s="48" t="str">
        <f aca="false">IF(AND(AP43&gt;0,U43=1),AQ43*R43,"")</f>
        <v/>
      </c>
      <c r="AS43" s="2"/>
      <c r="AT43" s="48" t="n">
        <f aca="false">AI43*3</f>
        <v>6</v>
      </c>
      <c r="AV43" s="54"/>
      <c r="AW43" s="54"/>
    </row>
    <row r="44" customFormat="false" ht="13.2" hidden="false" customHeight="false" outlineLevel="0" collapsed="false">
      <c r="B44" s="91"/>
      <c r="C44" s="55"/>
      <c r="D44" s="56" t="s">
        <v>55</v>
      </c>
      <c r="E44" s="97" t="s">
        <v>53</v>
      </c>
      <c r="F44" s="34"/>
      <c r="G44" s="41"/>
      <c r="H44" s="41"/>
      <c r="I44" s="41"/>
      <c r="J44" s="59"/>
      <c r="K44" s="43"/>
      <c r="L44" s="43"/>
      <c r="Q44" s="43"/>
      <c r="R44" s="77" t="n">
        <v>4</v>
      </c>
      <c r="S44" s="8"/>
      <c r="U44" s="48" t="n">
        <v>1</v>
      </c>
      <c r="V44" s="48" t="n">
        <v>1</v>
      </c>
      <c r="W44" s="26" t="str">
        <f aca="false">IF(AND(U44=1,V44=0),"Bonus","")</f>
        <v/>
      </c>
      <c r="X44" s="26"/>
      <c r="Y44" s="49" t="str">
        <f aca="false">IF(U44=1,AR44,"")</f>
        <v/>
      </c>
      <c r="Z44" s="50"/>
      <c r="AA44" s="150"/>
      <c r="AB44" s="50"/>
      <c r="AC44" s="150" t="e">
        <f aca="false">IF(Y44&lt;&gt;ByStudent!Y44,Y44-ByStudent!Y44,0)</f>
        <v>#VALUE!</v>
      </c>
      <c r="AD44" s="50"/>
      <c r="AE44" s="74"/>
      <c r="AF44" s="0" t="e">
        <f aca="false">IF(AND(AC44&lt;0,AE44=""),"TODO !","")</f>
        <v>#VALUE!</v>
      </c>
      <c r="AG44" s="53"/>
      <c r="AH44" s="2"/>
      <c r="AI44" s="48" t="n">
        <f aca="false">U44*V44*R44</f>
        <v>4</v>
      </c>
      <c r="AJ44" s="2"/>
      <c r="AK44" s="48" t="str">
        <f aca="false">IF(G44="x",AK$4,"")</f>
        <v/>
      </c>
      <c r="AL44" s="48" t="str">
        <f aca="false">IF(H44="x",AL$4,"")</f>
        <v/>
      </c>
      <c r="AM44" s="48" t="str">
        <f aca="false">IF(I44="x",AM$4,"")</f>
        <v/>
      </c>
      <c r="AN44" s="48" t="str">
        <f aca="false">IF(J44="x",AN$4,"")</f>
        <v/>
      </c>
      <c r="AO44" s="2"/>
      <c r="AP44" s="48" t="n">
        <f aca="false">COUNTIF(G44:J44,"=x")</f>
        <v>0</v>
      </c>
      <c r="AQ44" s="48" t="str">
        <f aca="false">IF(AP44&gt;0,AVERAGE(AK44:AN44),"")</f>
        <v/>
      </c>
      <c r="AR44" s="48" t="str">
        <f aca="false">IF(AND(AP44&gt;0,U44=1),AQ44*R44,"")</f>
        <v/>
      </c>
      <c r="AS44" s="2"/>
      <c r="AT44" s="48" t="n">
        <f aca="false">AI44*3</f>
        <v>12</v>
      </c>
      <c r="AV44" s="54"/>
      <c r="AW44" s="54"/>
    </row>
    <row r="45" customFormat="false" ht="13.2" hidden="false" customHeight="false" outlineLevel="0" collapsed="false">
      <c r="G45" s="78"/>
      <c r="H45" s="78"/>
      <c r="I45" s="78"/>
      <c r="J45" s="78"/>
      <c r="U45" s="2"/>
      <c r="V45" s="2"/>
      <c r="W45" s="26"/>
      <c r="X45" s="26"/>
      <c r="Y45" s="65" t="str">
        <f aca="false">IF(U45=1,AR45,"")</f>
        <v/>
      </c>
      <c r="Z45" s="80"/>
      <c r="AA45" s="80"/>
      <c r="AB45" s="80"/>
      <c r="AC45" s="50"/>
      <c r="AD45" s="80"/>
      <c r="AE45" s="73"/>
      <c r="AF45" s="0" t="str">
        <f aca="false">IF(AND(AC45&lt;0,AE45=""),"TODO !","")</f>
        <v/>
      </c>
      <c r="AH45" s="2"/>
      <c r="AI45" s="2"/>
      <c r="AJ45" s="2"/>
      <c r="AK45" s="2" t="str">
        <f aca="false">IF(G45="x",AK$4,"")</f>
        <v/>
      </c>
      <c r="AL45" s="2" t="str">
        <f aca="false">IF(H45="x",AL$4,"")</f>
        <v/>
      </c>
      <c r="AM45" s="2" t="str">
        <f aca="false">IF(I45="x",AM$4,"")</f>
        <v/>
      </c>
      <c r="AN45" s="2" t="str">
        <f aca="false">IF(J45="x",AN$4,"")</f>
        <v/>
      </c>
      <c r="AO45" s="2"/>
      <c r="AP45" s="2"/>
      <c r="AQ45" s="2" t="str">
        <f aca="false">IF(AP45&gt;0,AVERAGE(AK45:AN45),"")</f>
        <v/>
      </c>
      <c r="AR45" s="2"/>
      <c r="AS45" s="2"/>
      <c r="AT45" s="2"/>
    </row>
    <row r="46" customFormat="false" ht="13.2" hidden="false" customHeight="false" outlineLevel="0" collapsed="false">
      <c r="B46" s="3"/>
      <c r="D46" s="34"/>
      <c r="G46" s="78"/>
      <c r="H46" s="78"/>
      <c r="I46" s="78"/>
      <c r="J46" s="78"/>
      <c r="U46" s="2"/>
      <c r="V46" s="2"/>
      <c r="W46" s="26"/>
      <c r="X46" s="26"/>
      <c r="Y46" s="65" t="str">
        <f aca="false">IF(U46=1,AR46,"")</f>
        <v/>
      </c>
      <c r="Z46" s="80"/>
      <c r="AA46" s="80"/>
      <c r="AB46" s="80"/>
      <c r="AC46" s="50"/>
      <c r="AD46" s="80"/>
      <c r="AE46" s="73"/>
      <c r="AF46" s="0" t="str">
        <f aca="false">IF(AND(AC46&lt;0,AE46=""),"TODO !","")</f>
        <v/>
      </c>
      <c r="AH46" s="2"/>
      <c r="AI46" s="2"/>
      <c r="AJ46" s="2"/>
      <c r="AK46" s="2" t="str">
        <f aca="false">IF(G46="x",AK$4,"")</f>
        <v/>
      </c>
      <c r="AL46" s="2" t="str">
        <f aca="false">IF(H46="x",AL$4,"")</f>
        <v/>
      </c>
      <c r="AM46" s="2" t="str">
        <f aca="false">IF(I46="x",AM$4,"")</f>
        <v/>
      </c>
      <c r="AN46" s="2" t="str">
        <f aca="false">IF(J46="x",AN$4,"")</f>
        <v/>
      </c>
      <c r="AO46" s="2"/>
      <c r="AP46" s="2"/>
      <c r="AQ46" s="2" t="str">
        <f aca="false">IF(AP46&gt;0,AVERAGE(AK46:AN46),"")</f>
        <v/>
      </c>
      <c r="AR46" s="2"/>
      <c r="AS46" s="2"/>
      <c r="AT46" s="2"/>
    </row>
    <row r="47" customFormat="false" ht="13.2" hidden="false" customHeight="false" outlineLevel="0" collapsed="false">
      <c r="B47" s="99" t="s">
        <v>56</v>
      </c>
      <c r="C47" s="38" t="s">
        <v>57</v>
      </c>
      <c r="D47" s="39"/>
      <c r="E47" s="92" t="s">
        <v>58</v>
      </c>
      <c r="F47" s="34"/>
      <c r="G47" s="41"/>
      <c r="H47" s="41"/>
      <c r="I47" s="42"/>
      <c r="J47" s="41"/>
      <c r="K47" s="43"/>
      <c r="L47" s="43"/>
      <c r="Q47" s="43"/>
      <c r="R47" s="77" t="n">
        <v>4</v>
      </c>
      <c r="S47" s="8" t="n">
        <f aca="false">SUM(R47:R53)</f>
        <v>22</v>
      </c>
      <c r="U47" s="48" t="n">
        <v>1</v>
      </c>
      <c r="V47" s="48" t="n">
        <v>1</v>
      </c>
      <c r="W47" s="26" t="str">
        <f aca="false">IF(AND(U47=1,V47=0),"Bonus","")</f>
        <v/>
      </c>
      <c r="X47" s="26"/>
      <c r="Y47" s="49" t="str">
        <f aca="false">IF(U47=1,AR47,"")</f>
        <v/>
      </c>
      <c r="Z47" s="50"/>
      <c r="AA47" s="150"/>
      <c r="AB47" s="50"/>
      <c r="AC47" s="150" t="e">
        <f aca="false">IF(Y47&lt;&gt;ByStudent!Y47,Y47-ByStudent!Y47,0)</f>
        <v>#VALUE!</v>
      </c>
      <c r="AD47" s="50"/>
      <c r="AE47" s="74"/>
      <c r="AF47" s="0" t="e">
        <f aca="false">IF(AND(AC47&lt;0,AE47=""),"TODO !","")</f>
        <v>#VALUE!</v>
      </c>
      <c r="AG47" s="53" t="s">
        <v>59</v>
      </c>
      <c r="AH47" s="2"/>
      <c r="AI47" s="48" t="n">
        <f aca="false">U47*V47*R47</f>
        <v>4</v>
      </c>
      <c r="AJ47" s="2"/>
      <c r="AK47" s="48" t="str">
        <f aca="false">IF(G47="x",AK$4,"")</f>
        <v/>
      </c>
      <c r="AL47" s="48" t="str">
        <f aca="false">IF(H47="x",AL$4,"")</f>
        <v/>
      </c>
      <c r="AM47" s="48" t="str">
        <f aca="false">IF(I47="x",AM$4,"")</f>
        <v/>
      </c>
      <c r="AN47" s="48" t="str">
        <f aca="false">IF(J47="x",AN$4,"")</f>
        <v/>
      </c>
      <c r="AO47" s="2"/>
      <c r="AP47" s="48" t="n">
        <f aca="false">COUNTIF(G47:J47,"=x")</f>
        <v>0</v>
      </c>
      <c r="AQ47" s="48" t="str">
        <f aca="false">IF(AP47&gt;0,AVERAGE(AK47:AN47),"")</f>
        <v/>
      </c>
      <c r="AR47" s="48" t="str">
        <f aca="false">IF(AND(AP47&gt;0,U47=1),AQ47*R47,"")</f>
        <v/>
      </c>
      <c r="AS47" s="2"/>
      <c r="AT47" s="48" t="n">
        <f aca="false">AI47*3</f>
        <v>12</v>
      </c>
      <c r="AV47" s="54" t="n">
        <f aca="false">SUM(AR47:AR53)</f>
        <v>0</v>
      </c>
      <c r="AW47" s="54" t="n">
        <f aca="false">SUM(AT47:AT53)</f>
        <v>66</v>
      </c>
    </row>
    <row r="48" customFormat="false" ht="13.2" hidden="false" customHeight="false" outlineLevel="0" collapsed="false">
      <c r="B48" s="99"/>
      <c r="C48" s="82" t="s">
        <v>60</v>
      </c>
      <c r="D48" s="34"/>
      <c r="E48" s="93" t="s">
        <v>58</v>
      </c>
      <c r="F48" s="34"/>
      <c r="G48" s="41"/>
      <c r="H48" s="41"/>
      <c r="I48" s="42"/>
      <c r="J48" s="41"/>
      <c r="K48" s="43"/>
      <c r="L48" s="43"/>
      <c r="Q48" s="43"/>
      <c r="R48" s="77" t="n">
        <v>5</v>
      </c>
      <c r="S48" s="8"/>
      <c r="U48" s="48" t="n">
        <v>1</v>
      </c>
      <c r="V48" s="48" t="n">
        <v>1</v>
      </c>
      <c r="W48" s="26" t="str">
        <f aca="false">IF(AND(U48=1,V48=0),"Bonus","")</f>
        <v/>
      </c>
      <c r="X48" s="26"/>
      <c r="Y48" s="49" t="str">
        <f aca="false">IF(U48=1,AR48,"")</f>
        <v/>
      </c>
      <c r="Z48" s="50"/>
      <c r="AA48" s="150"/>
      <c r="AB48" s="50"/>
      <c r="AC48" s="150" t="e">
        <f aca="false">IF(Y48&lt;&gt;ByStudent!Y48,Y48-ByStudent!Y48,0)</f>
        <v>#VALUE!</v>
      </c>
      <c r="AD48" s="50"/>
      <c r="AE48" s="74"/>
      <c r="AF48" s="0" t="e">
        <f aca="false">IF(AND(AC48&lt;0,AE48=""),"TODO !","")</f>
        <v>#VALUE!</v>
      </c>
      <c r="AG48" s="53"/>
      <c r="AH48" s="2"/>
      <c r="AI48" s="48" t="n">
        <f aca="false">U48*V48*R48</f>
        <v>5</v>
      </c>
      <c r="AJ48" s="2"/>
      <c r="AK48" s="48" t="str">
        <f aca="false">IF(G48="x",AK$4,"")</f>
        <v/>
      </c>
      <c r="AL48" s="48" t="str">
        <f aca="false">IF(H48="x",AL$4,"")</f>
        <v/>
      </c>
      <c r="AM48" s="48" t="str">
        <f aca="false">IF(I48="x",AM$4,"")</f>
        <v/>
      </c>
      <c r="AN48" s="48" t="str">
        <f aca="false">IF(J48="x",AN$4,"")</f>
        <v/>
      </c>
      <c r="AO48" s="2"/>
      <c r="AP48" s="48" t="n">
        <f aca="false">COUNTIF(G48:J48,"=x")</f>
        <v>0</v>
      </c>
      <c r="AQ48" s="48" t="str">
        <f aca="false">IF(AP48&gt;0,AVERAGE(AK48:AN48),"")</f>
        <v/>
      </c>
      <c r="AR48" s="48" t="str">
        <f aca="false">IF(AND(AP48&gt;0,U48=1),AQ48*R48,"")</f>
        <v/>
      </c>
      <c r="AS48" s="2"/>
      <c r="AT48" s="48" t="n">
        <f aca="false">AI48*3</f>
        <v>15</v>
      </c>
      <c r="AV48" s="54"/>
      <c r="AW48" s="54"/>
    </row>
    <row r="49" customFormat="false" ht="13.2" hidden="false" customHeight="false" outlineLevel="0" collapsed="false">
      <c r="B49" s="99"/>
      <c r="C49" s="82" t="s">
        <v>61</v>
      </c>
      <c r="D49" s="34"/>
      <c r="E49" s="93" t="s">
        <v>58</v>
      </c>
      <c r="F49" s="34"/>
      <c r="G49" s="41"/>
      <c r="H49" s="41"/>
      <c r="I49" s="42"/>
      <c r="J49" s="41"/>
      <c r="K49" s="43"/>
      <c r="L49" s="43"/>
      <c r="Q49" s="43"/>
      <c r="R49" s="77" t="n">
        <v>7</v>
      </c>
      <c r="S49" s="8"/>
      <c r="U49" s="48" t="n">
        <v>1</v>
      </c>
      <c r="V49" s="48" t="n">
        <v>1</v>
      </c>
      <c r="W49" s="26" t="str">
        <f aca="false">IF(AND(U49=1,V49=0),"Bonus","")</f>
        <v/>
      </c>
      <c r="X49" s="26"/>
      <c r="Y49" s="49" t="str">
        <f aca="false">IF(U49=1,AR49,"")</f>
        <v/>
      </c>
      <c r="Z49" s="50"/>
      <c r="AA49" s="150"/>
      <c r="AB49" s="50"/>
      <c r="AC49" s="150" t="e">
        <f aca="false">IF(Y49&lt;&gt;ByStudent!Y49,Y49-ByStudent!Y49,0)</f>
        <v>#VALUE!</v>
      </c>
      <c r="AD49" s="50"/>
      <c r="AE49" s="74"/>
      <c r="AF49" s="0" t="e">
        <f aca="false">IF(AND(AC49&lt;0,AE49=""),"TODO !","")</f>
        <v>#VALUE!</v>
      </c>
      <c r="AG49" s="53"/>
      <c r="AH49" s="2"/>
      <c r="AI49" s="48" t="n">
        <f aca="false">U49*V49*R49</f>
        <v>7</v>
      </c>
      <c r="AJ49" s="2"/>
      <c r="AK49" s="48" t="str">
        <f aca="false">IF(G49="x",AK$4,"")</f>
        <v/>
      </c>
      <c r="AL49" s="48" t="str">
        <f aca="false">IF(H49="x",AL$4,"")</f>
        <v/>
      </c>
      <c r="AM49" s="48" t="str">
        <f aca="false">IF(I49="x",AM$4,"")</f>
        <v/>
      </c>
      <c r="AN49" s="48" t="str">
        <f aca="false">IF(J49="x",AN$4,"")</f>
        <v/>
      </c>
      <c r="AO49" s="2"/>
      <c r="AP49" s="48" t="n">
        <f aca="false">COUNTIF(G49:J49,"=x")</f>
        <v>0</v>
      </c>
      <c r="AQ49" s="48" t="str">
        <f aca="false">IF(AP49&gt;0,AVERAGE(AK49:AN49),"")</f>
        <v/>
      </c>
      <c r="AR49" s="48" t="str">
        <f aca="false">IF(AND(AP49&gt;0,U49=1),AQ49*R49,"")</f>
        <v/>
      </c>
      <c r="AS49" s="2"/>
      <c r="AT49" s="48" t="n">
        <f aca="false">AI49*3</f>
        <v>21</v>
      </c>
      <c r="AV49" s="54"/>
      <c r="AW49" s="54"/>
    </row>
    <row r="50" customFormat="false" ht="13.2" hidden="false" customHeight="false" outlineLevel="0" collapsed="false">
      <c r="B50" s="99"/>
      <c r="C50" s="95"/>
      <c r="D50" s="34"/>
      <c r="E50" s="93"/>
      <c r="F50" s="34"/>
      <c r="G50" s="63"/>
      <c r="H50" s="63"/>
      <c r="I50" s="63"/>
      <c r="J50" s="63"/>
      <c r="K50" s="43"/>
      <c r="L50" s="43"/>
      <c r="Q50" s="43"/>
      <c r="R50" s="21"/>
      <c r="S50" s="8"/>
      <c r="U50" s="2"/>
      <c r="V50" s="2"/>
      <c r="W50" s="26"/>
      <c r="X50" s="26"/>
      <c r="Y50" s="65" t="str">
        <f aca="false">IF(U50=1,AR50,"")</f>
        <v/>
      </c>
      <c r="Z50" s="50"/>
      <c r="AA50" s="50"/>
      <c r="AB50" s="50"/>
      <c r="AC50" s="50"/>
      <c r="AD50" s="50"/>
      <c r="AE50" s="73"/>
      <c r="AF50" s="0" t="str">
        <f aca="false">IF(AND(AC50&lt;0,AE50=""),"TODO !","")</f>
        <v/>
      </c>
      <c r="AG50" s="53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V50" s="54"/>
      <c r="AW50" s="54"/>
    </row>
    <row r="51" customFormat="false" ht="12.75" hidden="false" customHeight="true" outlineLevel="0" collapsed="false">
      <c r="B51" s="99"/>
      <c r="C51" s="82" t="s">
        <v>57</v>
      </c>
      <c r="D51" s="34"/>
      <c r="E51" s="76" t="s">
        <v>38</v>
      </c>
      <c r="F51" s="34"/>
      <c r="G51" s="41"/>
      <c r="H51" s="41"/>
      <c r="I51" s="41"/>
      <c r="J51" s="59"/>
      <c r="K51" s="43"/>
      <c r="L51" s="43"/>
      <c r="Q51" s="43"/>
      <c r="R51" s="77" t="n">
        <v>2</v>
      </c>
      <c r="S51" s="8"/>
      <c r="U51" s="48" t="n">
        <v>1</v>
      </c>
      <c r="V51" s="48" t="n">
        <v>1</v>
      </c>
      <c r="W51" s="26" t="str">
        <f aca="false">IF(AND(U51=1,V51=0),"Bonus","")</f>
        <v/>
      </c>
      <c r="X51" s="26"/>
      <c r="Y51" s="49" t="str">
        <f aca="false">IF(U51=1,AR51,"")</f>
        <v/>
      </c>
      <c r="Z51" s="50"/>
      <c r="AA51" s="150"/>
      <c r="AB51" s="50"/>
      <c r="AC51" s="150" t="e">
        <f aca="false">IF(Y51&lt;&gt;ByStudent!Y51,Y51-ByStudent!Y51,0)</f>
        <v>#VALUE!</v>
      </c>
      <c r="AD51" s="50"/>
      <c r="AE51" s="74"/>
      <c r="AF51" s="0" t="e">
        <f aca="false">IF(AND(AC51&lt;0,AE51=""),"TODO !","")</f>
        <v>#VALUE!</v>
      </c>
      <c r="AG51" s="53"/>
      <c r="AH51" s="2"/>
      <c r="AI51" s="48" t="n">
        <f aca="false">U51*V51*R51</f>
        <v>2</v>
      </c>
      <c r="AJ51" s="2"/>
      <c r="AK51" s="48" t="str">
        <f aca="false">IF(G51="x",AK$4,"")</f>
        <v/>
      </c>
      <c r="AL51" s="48" t="str">
        <f aca="false">IF(H51="x",AL$4,"")</f>
        <v/>
      </c>
      <c r="AM51" s="48" t="str">
        <f aca="false">IF(I51="x",AM$4,"")</f>
        <v/>
      </c>
      <c r="AN51" s="48" t="str">
        <f aca="false">IF(J51="x",AN$4,"")</f>
        <v/>
      </c>
      <c r="AO51" s="2"/>
      <c r="AP51" s="48" t="n">
        <f aca="false">COUNTIF(G51:J51,"=x")</f>
        <v>0</v>
      </c>
      <c r="AQ51" s="48" t="str">
        <f aca="false">IF(AP51&gt;0,AVERAGE(AK51:AN51),"")</f>
        <v/>
      </c>
      <c r="AR51" s="48" t="str">
        <f aca="false">IF(AND(AP51&gt;0,U51=1),AQ51*R51,"")</f>
        <v/>
      </c>
      <c r="AS51" s="2"/>
      <c r="AT51" s="48" t="n">
        <f aca="false">AI51*3</f>
        <v>6</v>
      </c>
      <c r="AV51" s="54"/>
      <c r="AW51" s="54"/>
    </row>
    <row r="52" customFormat="false" ht="13.2" hidden="false" customHeight="false" outlineLevel="0" collapsed="false">
      <c r="B52" s="99"/>
      <c r="C52" s="82" t="s">
        <v>60</v>
      </c>
      <c r="D52" s="34"/>
      <c r="E52" s="76"/>
      <c r="F52" s="34"/>
      <c r="G52" s="41"/>
      <c r="H52" s="41"/>
      <c r="I52" s="41"/>
      <c r="J52" s="59"/>
      <c r="K52" s="43"/>
      <c r="L52" s="43"/>
      <c r="Q52" s="43"/>
      <c r="R52" s="77" t="n">
        <v>2</v>
      </c>
      <c r="S52" s="8"/>
      <c r="U52" s="48" t="n">
        <v>1</v>
      </c>
      <c r="V52" s="48" t="n">
        <v>1</v>
      </c>
      <c r="W52" s="26" t="str">
        <f aca="false">IF(AND(U52=1,V52=0),"Bonus","")</f>
        <v/>
      </c>
      <c r="X52" s="26"/>
      <c r="Y52" s="49" t="str">
        <f aca="false">IF(U52=1,AR52,"")</f>
        <v/>
      </c>
      <c r="Z52" s="50"/>
      <c r="AA52" s="150"/>
      <c r="AB52" s="50"/>
      <c r="AC52" s="150" t="e">
        <f aca="false">IF(Y52&lt;&gt;ByStudent!Y52,Y52-ByStudent!Y52,0)</f>
        <v>#VALUE!</v>
      </c>
      <c r="AD52" s="50"/>
      <c r="AE52" s="74"/>
      <c r="AF52" s="0" t="e">
        <f aca="false">IF(AND(AC52&lt;0,AE52=""),"TODO !","")</f>
        <v>#VALUE!</v>
      </c>
      <c r="AG52" s="53"/>
      <c r="AH52" s="2"/>
      <c r="AI52" s="48" t="n">
        <f aca="false">U52*V52*R52</f>
        <v>2</v>
      </c>
      <c r="AJ52" s="2"/>
      <c r="AK52" s="48" t="str">
        <f aca="false">IF(G52="x",AK$4,"")</f>
        <v/>
      </c>
      <c r="AL52" s="48" t="str">
        <f aca="false">IF(H52="x",AL$4,"")</f>
        <v/>
      </c>
      <c r="AM52" s="48" t="str">
        <f aca="false">IF(I52="x",AM$4,"")</f>
        <v/>
      </c>
      <c r="AN52" s="48" t="str">
        <f aca="false">IF(J52="x",AN$4,"")</f>
        <v/>
      </c>
      <c r="AO52" s="2"/>
      <c r="AP52" s="48" t="n">
        <f aca="false">COUNTIF(G52:J52,"=x")</f>
        <v>0</v>
      </c>
      <c r="AQ52" s="48" t="str">
        <f aca="false">IF(AP52&gt;0,AVERAGE(AK52:AN52),"")</f>
        <v/>
      </c>
      <c r="AR52" s="48" t="str">
        <f aca="false">IF(AND(AP52&gt;0,U52=1),AQ52*R52,"")</f>
        <v/>
      </c>
      <c r="AS52" s="2"/>
      <c r="AT52" s="48" t="n">
        <f aca="false">AI52*3</f>
        <v>6</v>
      </c>
      <c r="AV52" s="54"/>
      <c r="AW52" s="54"/>
    </row>
    <row r="53" customFormat="false" ht="13.2" hidden="false" customHeight="false" outlineLevel="0" collapsed="false">
      <c r="B53" s="99"/>
      <c r="C53" s="55" t="s">
        <v>61</v>
      </c>
      <c r="D53" s="56"/>
      <c r="E53" s="76"/>
      <c r="F53" s="34"/>
      <c r="G53" s="41"/>
      <c r="H53" s="41"/>
      <c r="I53" s="41"/>
      <c r="J53" s="59"/>
      <c r="K53" s="43"/>
      <c r="L53" s="43"/>
      <c r="Q53" s="43"/>
      <c r="R53" s="77" t="n">
        <v>2</v>
      </c>
      <c r="S53" s="8"/>
      <c r="U53" s="48" t="n">
        <v>1</v>
      </c>
      <c r="V53" s="48" t="n">
        <v>1</v>
      </c>
      <c r="W53" s="26" t="str">
        <f aca="false">IF(AND(U53=1,V53=0),"Bonus","")</f>
        <v/>
      </c>
      <c r="X53" s="26"/>
      <c r="Y53" s="49" t="str">
        <f aca="false">IF(U53=1,AR53,"")</f>
        <v/>
      </c>
      <c r="Z53" s="50"/>
      <c r="AA53" s="150"/>
      <c r="AB53" s="50"/>
      <c r="AC53" s="150" t="e">
        <f aca="false">IF(Y53&lt;&gt;ByStudent!Y53,Y53-ByStudent!Y53,0)</f>
        <v>#VALUE!</v>
      </c>
      <c r="AD53" s="50"/>
      <c r="AE53" s="74"/>
      <c r="AF53" s="0" t="e">
        <f aca="false">IF(AND(AC53&lt;0,AE53=""),"TODO !","")</f>
        <v>#VALUE!</v>
      </c>
      <c r="AG53" s="53"/>
      <c r="AH53" s="2"/>
      <c r="AI53" s="48" t="n">
        <f aca="false">U53*V53*R53</f>
        <v>2</v>
      </c>
      <c r="AJ53" s="2"/>
      <c r="AK53" s="48" t="str">
        <f aca="false">IF(G53="x",AK$4,"")</f>
        <v/>
      </c>
      <c r="AL53" s="48" t="str">
        <f aca="false">IF(H53="x",AL$4,"")</f>
        <v/>
      </c>
      <c r="AM53" s="48" t="str">
        <f aca="false">IF(I53="x",AM$4,"")</f>
        <v/>
      </c>
      <c r="AN53" s="48" t="str">
        <f aca="false">IF(J53="x",AN$4,"")</f>
        <v/>
      </c>
      <c r="AO53" s="2"/>
      <c r="AP53" s="48" t="n">
        <f aca="false">COUNTIF(G53:J53,"=x")</f>
        <v>0</v>
      </c>
      <c r="AQ53" s="48" t="str">
        <f aca="false">IF(AP53&gt;0,AVERAGE(AK53:AN53),"")</f>
        <v/>
      </c>
      <c r="AR53" s="48" t="str">
        <f aca="false">IF(AND(AP53&gt;0,U53=1),AQ53*R53,"")</f>
        <v/>
      </c>
      <c r="AS53" s="2"/>
      <c r="AT53" s="48" t="n">
        <f aca="false">AI53*3</f>
        <v>6</v>
      </c>
      <c r="AV53" s="54"/>
      <c r="AW53" s="54"/>
    </row>
    <row r="54" customFormat="false" ht="13.2" hidden="false" customHeight="false" outlineLevel="0" collapsed="false">
      <c r="B54" s="23"/>
      <c r="C54" s="34"/>
      <c r="D54" s="34"/>
      <c r="E54" s="34"/>
      <c r="F54" s="34"/>
      <c r="G54" s="102"/>
      <c r="H54" s="102"/>
      <c r="I54" s="102"/>
      <c r="J54" s="102"/>
      <c r="K54" s="43"/>
      <c r="L54" s="43"/>
      <c r="Q54" s="43"/>
      <c r="R54" s="105"/>
      <c r="S54" s="21"/>
      <c r="U54" s="106"/>
      <c r="V54" s="106"/>
      <c r="W54" s="26"/>
      <c r="X54" s="26"/>
      <c r="Y54" s="65" t="str">
        <f aca="false">IF(U54=1,AR54,"")</f>
        <v/>
      </c>
      <c r="Z54" s="50"/>
      <c r="AA54" s="50"/>
      <c r="AB54" s="50"/>
      <c r="AC54" s="50"/>
      <c r="AD54" s="50"/>
      <c r="AE54" s="73"/>
      <c r="AF54" s="0" t="str">
        <f aca="false">IF(AND(AC54&lt;0,AE54=""),"TODO !","")</f>
        <v/>
      </c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</row>
    <row r="55" customFormat="false" ht="13.2" hidden="true" customHeight="false" outlineLevel="1" collapsed="false">
      <c r="B55" s="67"/>
      <c r="C55" s="34"/>
      <c r="D55" s="34"/>
      <c r="E55" s="34"/>
      <c r="F55" s="34"/>
      <c r="G55" s="63"/>
      <c r="H55" s="63"/>
      <c r="I55" s="63"/>
      <c r="J55" s="63"/>
      <c r="K55" s="43"/>
      <c r="L55" s="43"/>
      <c r="Q55" s="43"/>
      <c r="R55" s="21"/>
      <c r="S55" s="21"/>
      <c r="U55" s="2"/>
      <c r="V55" s="2"/>
      <c r="W55" s="26"/>
      <c r="X55" s="26"/>
      <c r="Y55" s="65" t="str">
        <f aca="false">IF(U55=1,AR55,"")</f>
        <v/>
      </c>
      <c r="Z55" s="50"/>
      <c r="AA55" s="50"/>
      <c r="AB55" s="50"/>
      <c r="AC55" s="50"/>
      <c r="AD55" s="50"/>
      <c r="AE55" s="73"/>
      <c r="AF55" s="0" t="str">
        <f aca="false">IF(AND(AC55&lt;0,AE55=""),"TODO !","")</f>
        <v/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</row>
    <row r="56" customFormat="false" ht="12.75" hidden="true" customHeight="true" outlineLevel="1" collapsed="false">
      <c r="B56" s="107" t="s">
        <v>62</v>
      </c>
      <c r="C56" s="38" t="s">
        <v>63</v>
      </c>
      <c r="D56" s="39"/>
      <c r="E56" s="92" t="s">
        <v>58</v>
      </c>
      <c r="F56" s="34"/>
      <c r="G56" s="41"/>
      <c r="H56" s="41"/>
      <c r="I56" s="207"/>
      <c r="J56" s="41"/>
      <c r="K56" s="43"/>
      <c r="L56" s="43"/>
      <c r="Q56" s="43"/>
      <c r="R56" s="77" t="n">
        <v>4</v>
      </c>
      <c r="S56" s="8" t="n">
        <f aca="false">SUM(R56:R70)</f>
        <v>26</v>
      </c>
      <c r="U56" s="48"/>
      <c r="V56" s="48"/>
      <c r="W56" s="26" t="str">
        <f aca="false">IF(AND(U56=1,V56=0),"Bonus","")</f>
        <v/>
      </c>
      <c r="X56" s="26"/>
      <c r="Y56" s="49" t="str">
        <f aca="false">IF(U56=1,AR56,"")</f>
        <v/>
      </c>
      <c r="Z56" s="50"/>
      <c r="AA56" s="150"/>
      <c r="AB56" s="50"/>
      <c r="AC56" s="150" t="n">
        <f aca="false">IF(Y56&lt;&gt;ByStudent!Y56,Y56-ByStudent!Y56,0)</f>
        <v>0</v>
      </c>
      <c r="AD56" s="50"/>
      <c r="AE56" s="74"/>
      <c r="AF56" s="0" t="str">
        <f aca="false">IF(AND(AC56&lt;0,AE56=""),"TODO !","")</f>
        <v/>
      </c>
      <c r="AG56" s="53" t="s">
        <v>65</v>
      </c>
      <c r="AH56" s="2"/>
      <c r="AI56" s="48" t="n">
        <f aca="false">U56*V56*R56</f>
        <v>0</v>
      </c>
      <c r="AJ56" s="2"/>
      <c r="AK56" s="48" t="str">
        <f aca="false">IF(G56="x",AK$4,"")</f>
        <v/>
      </c>
      <c r="AL56" s="48" t="str">
        <f aca="false">IF(H56="x",AL$4,"")</f>
        <v/>
      </c>
      <c r="AM56" s="48" t="str">
        <f aca="false">IF(I56="x",AM$4,"")</f>
        <v/>
      </c>
      <c r="AN56" s="48" t="str">
        <f aca="false">IF(J56="x",AN$4,"")</f>
        <v/>
      </c>
      <c r="AO56" s="2"/>
      <c r="AP56" s="48" t="n">
        <f aca="false">COUNTIF(G56:J56,"=x")</f>
        <v>0</v>
      </c>
      <c r="AQ56" s="48" t="str">
        <f aca="false">IF(AP56&gt;0,AVERAGE(AK56:AN56),"")</f>
        <v/>
      </c>
      <c r="AR56" s="48" t="str">
        <f aca="false">IF(AND(AP56&gt;0,U56=1),AQ56*R56,"")</f>
        <v/>
      </c>
      <c r="AS56" s="2"/>
      <c r="AT56" s="48" t="n">
        <f aca="false">AI56*3</f>
        <v>0</v>
      </c>
      <c r="AV56" s="54" t="n">
        <f aca="false">SUM(AR56:AR70)</f>
        <v>0</v>
      </c>
      <c r="AW56" s="54" t="n">
        <f aca="false">SUM(AT56:AT70)</f>
        <v>0</v>
      </c>
    </row>
    <row r="57" customFormat="false" ht="13.2" hidden="true" customHeight="false" outlineLevel="1" collapsed="false">
      <c r="B57" s="107"/>
      <c r="C57" s="82" t="s">
        <v>63</v>
      </c>
      <c r="D57" s="21" t="s">
        <v>66</v>
      </c>
      <c r="E57" s="93" t="s">
        <v>58</v>
      </c>
      <c r="F57" s="34"/>
      <c r="G57" s="41"/>
      <c r="H57" s="41"/>
      <c r="I57" s="207"/>
      <c r="J57" s="41"/>
      <c r="K57" s="43"/>
      <c r="L57" s="43"/>
      <c r="Q57" s="43"/>
      <c r="R57" s="77" t="n">
        <v>6</v>
      </c>
      <c r="S57" s="8"/>
      <c r="U57" s="48"/>
      <c r="V57" s="48"/>
      <c r="W57" s="26" t="str">
        <f aca="false">IF(AND(U57=1,V57=0),"Bonus","")</f>
        <v/>
      </c>
      <c r="X57" s="26"/>
      <c r="Y57" s="49" t="str">
        <f aca="false">IF(U57=1,AR57,"")</f>
        <v/>
      </c>
      <c r="Z57" s="50"/>
      <c r="AA57" s="150"/>
      <c r="AB57" s="50"/>
      <c r="AC57" s="150" t="n">
        <f aca="false">IF(Y57&lt;&gt;ByStudent!Y57,Y57-ByStudent!Y57,0)</f>
        <v>0</v>
      </c>
      <c r="AD57" s="50"/>
      <c r="AE57" s="74"/>
      <c r="AF57" s="0" t="str">
        <f aca="false">IF(AND(AC57&lt;0,AE57=""),"TODO !","")</f>
        <v/>
      </c>
      <c r="AG57" s="53"/>
      <c r="AH57" s="2"/>
      <c r="AI57" s="48" t="n">
        <f aca="false">U57*V57*R57</f>
        <v>0</v>
      </c>
      <c r="AJ57" s="2"/>
      <c r="AK57" s="48" t="str">
        <f aca="false">IF(G57="x",AK$4,"")</f>
        <v/>
      </c>
      <c r="AL57" s="48" t="str">
        <f aca="false">IF(H57="x",AL$4,"")</f>
        <v/>
      </c>
      <c r="AM57" s="48" t="str">
        <f aca="false">IF(I57="x",AM$4,"")</f>
        <v/>
      </c>
      <c r="AN57" s="48" t="str">
        <f aca="false">IF(J57="x",AN$4,"")</f>
        <v/>
      </c>
      <c r="AO57" s="2"/>
      <c r="AP57" s="48" t="n">
        <f aca="false">COUNTIF(G57:J57,"=x")</f>
        <v>0</v>
      </c>
      <c r="AQ57" s="48" t="str">
        <f aca="false">IF(AP57&gt;0,AVERAGE(AK57:AN57),"")</f>
        <v/>
      </c>
      <c r="AR57" s="48" t="str">
        <f aca="false">IF(AND(AP57&gt;0,U57=1),AQ57*R57,"")</f>
        <v/>
      </c>
      <c r="AS57" s="2"/>
      <c r="AT57" s="48" t="n">
        <f aca="false">AI57*3</f>
        <v>0</v>
      </c>
      <c r="AV57" s="54"/>
      <c r="AW57" s="54"/>
    </row>
    <row r="58" customFormat="false" ht="13.2" hidden="true" customHeight="false" outlineLevel="1" collapsed="false">
      <c r="B58" s="107"/>
      <c r="C58" s="82" t="s">
        <v>63</v>
      </c>
      <c r="D58" s="21" t="s">
        <v>67</v>
      </c>
      <c r="E58" s="93" t="s">
        <v>58</v>
      </c>
      <c r="F58" s="34"/>
      <c r="G58" s="41"/>
      <c r="H58" s="41"/>
      <c r="I58" s="207"/>
      <c r="J58" s="41"/>
      <c r="K58" s="43"/>
      <c r="L58" s="43"/>
      <c r="Q58" s="43"/>
      <c r="R58" s="47" t="n">
        <v>7</v>
      </c>
      <c r="S58" s="8"/>
      <c r="U58" s="48"/>
      <c r="V58" s="48"/>
      <c r="W58" s="26" t="str">
        <f aca="false">IF(AND(U58=1,V58=0),"Bonus","")</f>
        <v/>
      </c>
      <c r="X58" s="26"/>
      <c r="Y58" s="49" t="str">
        <f aca="false">IF(U58=1,AR58,"")</f>
        <v/>
      </c>
      <c r="Z58" s="50"/>
      <c r="AA58" s="150"/>
      <c r="AB58" s="50"/>
      <c r="AC58" s="150" t="n">
        <f aca="false">IF(Y58&lt;&gt;ByStudent!Y58,Y58-ByStudent!Y58,0)</f>
        <v>0</v>
      </c>
      <c r="AD58" s="50"/>
      <c r="AE58" s="74"/>
      <c r="AF58" s="0" t="str">
        <f aca="false">IF(AND(AC58&lt;0,AE58=""),"TODO !","")</f>
        <v/>
      </c>
      <c r="AG58" s="53"/>
      <c r="AH58" s="2"/>
      <c r="AI58" s="48" t="n">
        <f aca="false">U58*V58*R58</f>
        <v>0</v>
      </c>
      <c r="AJ58" s="2"/>
      <c r="AK58" s="48" t="str">
        <f aca="false">IF(G58="x",AK$4,"")</f>
        <v/>
      </c>
      <c r="AL58" s="48" t="str">
        <f aca="false">IF(H58="x",AL$4,"")</f>
        <v/>
      </c>
      <c r="AM58" s="48" t="str">
        <f aca="false">IF(I58="x",AM$4,"")</f>
        <v/>
      </c>
      <c r="AN58" s="48" t="str">
        <f aca="false">IF(J58="x",AN$4,"")</f>
        <v/>
      </c>
      <c r="AO58" s="2"/>
      <c r="AP58" s="48" t="n">
        <f aca="false">COUNTIF(G58:J58,"=x")</f>
        <v>0</v>
      </c>
      <c r="AQ58" s="48" t="str">
        <f aca="false">IF(AP58&gt;0,AVERAGE(AK58:AN58),"")</f>
        <v/>
      </c>
      <c r="AR58" s="48" t="str">
        <f aca="false">IF(AND(AP58&gt;0,U58=1),AQ58*R58,"")</f>
        <v/>
      </c>
      <c r="AS58" s="2"/>
      <c r="AT58" s="48" t="n">
        <f aca="false">AI58*3</f>
        <v>0</v>
      </c>
      <c r="AV58" s="54"/>
      <c r="AW58" s="54"/>
    </row>
    <row r="59" customFormat="false" ht="13.2" hidden="true" customHeight="false" outlineLevel="1" collapsed="false">
      <c r="B59" s="107"/>
      <c r="C59" s="82"/>
      <c r="D59" s="34"/>
      <c r="E59" s="93"/>
      <c r="F59" s="34"/>
      <c r="G59" s="63"/>
      <c r="H59" s="63"/>
      <c r="I59" s="63"/>
      <c r="J59" s="63"/>
      <c r="K59" s="43"/>
      <c r="L59" s="43"/>
      <c r="Q59" s="43"/>
      <c r="R59" s="21"/>
      <c r="S59" s="8"/>
      <c r="U59" s="2"/>
      <c r="V59" s="2"/>
      <c r="W59" s="26"/>
      <c r="X59" s="26"/>
      <c r="Y59" s="65" t="str">
        <f aca="false">IF(U59=1,AR59,"")</f>
        <v/>
      </c>
      <c r="Z59" s="50"/>
      <c r="AA59" s="50"/>
      <c r="AB59" s="50"/>
      <c r="AC59" s="50"/>
      <c r="AD59" s="50"/>
      <c r="AE59" s="73"/>
      <c r="AF59" s="0" t="str">
        <f aca="false">IF(AND(AC59&lt;0,AE59=""),"TODO !","")</f>
        <v/>
      </c>
      <c r="AG59" s="53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V59" s="54"/>
      <c r="AW59" s="54"/>
    </row>
    <row r="60" customFormat="false" ht="13.2" hidden="true" customHeight="false" outlineLevel="1" collapsed="false">
      <c r="B60" s="107"/>
      <c r="C60" s="82" t="s">
        <v>68</v>
      </c>
      <c r="D60" s="34"/>
      <c r="E60" s="93" t="s">
        <v>58</v>
      </c>
      <c r="F60" s="34"/>
      <c r="G60" s="41"/>
      <c r="H60" s="41"/>
      <c r="I60" s="207"/>
      <c r="J60" s="41"/>
      <c r="K60" s="43"/>
      <c r="L60" s="43"/>
      <c r="Q60" s="43"/>
      <c r="R60" s="77" t="n">
        <v>1</v>
      </c>
      <c r="S60" s="8"/>
      <c r="U60" s="48"/>
      <c r="V60" s="48"/>
      <c r="W60" s="26" t="str">
        <f aca="false">IF(AND(U60=1,V60=0),"Bonus","")</f>
        <v/>
      </c>
      <c r="X60" s="26"/>
      <c r="Y60" s="49" t="str">
        <f aca="false">IF(U60=1,AR60,"")</f>
        <v/>
      </c>
      <c r="Z60" s="50"/>
      <c r="AA60" s="150"/>
      <c r="AB60" s="50"/>
      <c r="AC60" s="150" t="n">
        <f aca="false">IF(Y60&lt;&gt;ByStudent!Y60,Y60-ByStudent!Y60,0)</f>
        <v>0</v>
      </c>
      <c r="AD60" s="50"/>
      <c r="AE60" s="74"/>
      <c r="AF60" s="0" t="str">
        <f aca="false">IF(AND(AC60&lt;0,AE60=""),"TODO !","")</f>
        <v/>
      </c>
      <c r="AG60" s="53"/>
      <c r="AH60" s="2"/>
      <c r="AI60" s="48" t="n">
        <f aca="false">U60*V60*R60</f>
        <v>0</v>
      </c>
      <c r="AJ60" s="2"/>
      <c r="AK60" s="48" t="str">
        <f aca="false">IF(G60="x",AK$4,"")</f>
        <v/>
      </c>
      <c r="AL60" s="48" t="str">
        <f aca="false">IF(H60="x",AL$4,"")</f>
        <v/>
      </c>
      <c r="AM60" s="48" t="str">
        <f aca="false">IF(I60="x",AM$4,"")</f>
        <v/>
      </c>
      <c r="AN60" s="48" t="str">
        <f aca="false">IF(J60="x",AN$4,"")</f>
        <v/>
      </c>
      <c r="AO60" s="2"/>
      <c r="AP60" s="48" t="n">
        <f aca="false">COUNTIF(G60:J60,"=x")</f>
        <v>0</v>
      </c>
      <c r="AQ60" s="48" t="str">
        <f aca="false">IF(AP60&gt;0,AVERAGE(AK60:AN60),"")</f>
        <v/>
      </c>
      <c r="AR60" s="48" t="str">
        <f aca="false">IF(AND(AP60&gt;0,U60=1),AQ60*R60,"")</f>
        <v/>
      </c>
      <c r="AS60" s="2"/>
      <c r="AT60" s="48" t="n">
        <f aca="false">AI60*3</f>
        <v>0</v>
      </c>
      <c r="AV60" s="54"/>
      <c r="AW60" s="54"/>
    </row>
    <row r="61" customFormat="false" ht="13.2" hidden="true" customHeight="false" outlineLevel="1" collapsed="false">
      <c r="B61" s="107"/>
      <c r="C61" s="82" t="s">
        <v>68</v>
      </c>
      <c r="D61" s="21" t="s">
        <v>66</v>
      </c>
      <c r="E61" s="93" t="s">
        <v>58</v>
      </c>
      <c r="F61" s="34"/>
      <c r="G61" s="41"/>
      <c r="H61" s="41"/>
      <c r="I61" s="207"/>
      <c r="J61" s="41"/>
      <c r="K61" s="43"/>
      <c r="L61" s="43"/>
      <c r="Q61" s="43"/>
      <c r="R61" s="77" t="n">
        <v>1</v>
      </c>
      <c r="S61" s="8"/>
      <c r="U61" s="48"/>
      <c r="V61" s="48"/>
      <c r="W61" s="26" t="str">
        <f aca="false">IF(AND(U61=1,V61=0),"Bonus","")</f>
        <v/>
      </c>
      <c r="X61" s="26"/>
      <c r="Y61" s="49" t="str">
        <f aca="false">IF(U61=1,AR61,"")</f>
        <v/>
      </c>
      <c r="Z61" s="50"/>
      <c r="AA61" s="150"/>
      <c r="AB61" s="50"/>
      <c r="AC61" s="150" t="n">
        <f aca="false">IF(Y61&lt;&gt;ByStudent!Y61,Y61-ByStudent!Y61,0)</f>
        <v>0</v>
      </c>
      <c r="AD61" s="50"/>
      <c r="AE61" s="74"/>
      <c r="AF61" s="0" t="str">
        <f aca="false">IF(AND(AC61&lt;0,AE61=""),"TODO !","")</f>
        <v/>
      </c>
      <c r="AG61" s="53"/>
      <c r="AH61" s="2"/>
      <c r="AI61" s="48" t="n">
        <f aca="false">U61*V61*R61</f>
        <v>0</v>
      </c>
      <c r="AJ61" s="2"/>
      <c r="AK61" s="48" t="str">
        <f aca="false">IF(G61="x",AK$4,"")</f>
        <v/>
      </c>
      <c r="AL61" s="48" t="str">
        <f aca="false">IF(H61="x",AL$4,"")</f>
        <v/>
      </c>
      <c r="AM61" s="48" t="str">
        <f aca="false">IF(I61="x",AM$4,"")</f>
        <v/>
      </c>
      <c r="AN61" s="48" t="str">
        <f aca="false">IF(J61="x",AN$4,"")</f>
        <v/>
      </c>
      <c r="AO61" s="2"/>
      <c r="AP61" s="48" t="n">
        <f aca="false">COUNTIF(G61:J61,"=x")</f>
        <v>0</v>
      </c>
      <c r="AQ61" s="48" t="str">
        <f aca="false">IF(AP61&gt;0,AVERAGE(AK61:AN61),"")</f>
        <v/>
      </c>
      <c r="AR61" s="48" t="str">
        <f aca="false">IF(AND(AP61&gt;0,U61=1),AQ61*R61,"")</f>
        <v/>
      </c>
      <c r="AS61" s="2"/>
      <c r="AT61" s="48" t="n">
        <f aca="false">AI61*3</f>
        <v>0</v>
      </c>
      <c r="AV61" s="54"/>
      <c r="AW61" s="54"/>
    </row>
    <row r="62" customFormat="false" ht="13.2" hidden="true" customHeight="false" outlineLevel="1" collapsed="false">
      <c r="B62" s="107"/>
      <c r="C62" s="82" t="s">
        <v>68</v>
      </c>
      <c r="D62" s="21" t="s">
        <v>67</v>
      </c>
      <c r="E62" s="93" t="s">
        <v>58</v>
      </c>
      <c r="F62" s="34"/>
      <c r="G62" s="41"/>
      <c r="H62" s="41"/>
      <c r="I62" s="207"/>
      <c r="J62" s="41"/>
      <c r="K62" s="43"/>
      <c r="L62" s="43"/>
      <c r="Q62" s="43"/>
      <c r="R62" s="47" t="n">
        <v>1</v>
      </c>
      <c r="S62" s="8"/>
      <c r="U62" s="48"/>
      <c r="V62" s="48"/>
      <c r="W62" s="26" t="str">
        <f aca="false">IF(AND(U62=1,V62=0),"Bonus","")</f>
        <v/>
      </c>
      <c r="X62" s="26"/>
      <c r="Y62" s="49" t="str">
        <f aca="false">IF(U62=1,AR62,"")</f>
        <v/>
      </c>
      <c r="Z62" s="50"/>
      <c r="AA62" s="150"/>
      <c r="AB62" s="50"/>
      <c r="AC62" s="150" t="n">
        <f aca="false">IF(Y62&lt;&gt;ByStudent!Y62,Y62-ByStudent!Y62,0)</f>
        <v>0</v>
      </c>
      <c r="AD62" s="50"/>
      <c r="AE62" s="74"/>
      <c r="AF62" s="0" t="str">
        <f aca="false">IF(AND(AC62&lt;0,AE62=""),"TODO !","")</f>
        <v/>
      </c>
      <c r="AG62" s="53"/>
      <c r="AH62" s="2"/>
      <c r="AI62" s="48" t="n">
        <f aca="false">U62*V62*R62</f>
        <v>0</v>
      </c>
      <c r="AJ62" s="2"/>
      <c r="AK62" s="48" t="str">
        <f aca="false">IF(G62="x",AK$4,"")</f>
        <v/>
      </c>
      <c r="AL62" s="48" t="str">
        <f aca="false">IF(H62="x",AL$4,"")</f>
        <v/>
      </c>
      <c r="AM62" s="48" t="str">
        <f aca="false">IF(I62="x",AM$4,"")</f>
        <v/>
      </c>
      <c r="AN62" s="48" t="str">
        <f aca="false">IF(J62="x",AN$4,"")</f>
        <v/>
      </c>
      <c r="AO62" s="2"/>
      <c r="AP62" s="48" t="n">
        <f aca="false">COUNTIF(G62:J62,"=x")</f>
        <v>0</v>
      </c>
      <c r="AQ62" s="48" t="str">
        <f aca="false">IF(AP62&gt;0,AVERAGE(AK62:AN62),"")</f>
        <v/>
      </c>
      <c r="AR62" s="48" t="str">
        <f aca="false">IF(AND(AP62&gt;0,U62=1),AQ62*R62,"")</f>
        <v/>
      </c>
      <c r="AS62" s="2"/>
      <c r="AT62" s="48" t="n">
        <f aca="false">AI62*3</f>
        <v>0</v>
      </c>
      <c r="AV62" s="54"/>
      <c r="AW62" s="54"/>
    </row>
    <row r="63" customFormat="false" ht="13.2" hidden="true" customHeight="false" outlineLevel="1" collapsed="false">
      <c r="B63" s="107"/>
      <c r="C63" s="82"/>
      <c r="D63" s="34"/>
      <c r="E63" s="93"/>
      <c r="F63" s="34"/>
      <c r="G63" s="63"/>
      <c r="H63" s="63"/>
      <c r="I63" s="63"/>
      <c r="J63" s="63"/>
      <c r="K63" s="43"/>
      <c r="L63" s="43"/>
      <c r="Q63" s="43"/>
      <c r="R63" s="21"/>
      <c r="S63" s="8"/>
      <c r="U63" s="2"/>
      <c r="V63" s="2"/>
      <c r="W63" s="26"/>
      <c r="X63" s="26"/>
      <c r="Y63" s="65" t="str">
        <f aca="false">IF(U63=1,AR63,"")</f>
        <v/>
      </c>
      <c r="Z63" s="50"/>
      <c r="AA63" s="50"/>
      <c r="AB63" s="50"/>
      <c r="AC63" s="50"/>
      <c r="AD63" s="50"/>
      <c r="AE63" s="73"/>
      <c r="AF63" s="0" t="str">
        <f aca="false">IF(AND(AC63&lt;0,AE63=""),"TODO !","")</f>
        <v/>
      </c>
      <c r="AG63" s="53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V63" s="54"/>
      <c r="AW63" s="54"/>
    </row>
    <row r="64" customFormat="false" ht="13.2" hidden="true" customHeight="false" outlineLevel="1" collapsed="false">
      <c r="B64" s="107"/>
      <c r="C64" s="82" t="s">
        <v>63</v>
      </c>
      <c r="D64" s="34"/>
      <c r="E64" s="76" t="s">
        <v>38</v>
      </c>
      <c r="F64" s="34"/>
      <c r="G64" s="41"/>
      <c r="H64" s="41"/>
      <c r="I64" s="41"/>
      <c r="J64" s="59"/>
      <c r="K64" s="43"/>
      <c r="L64" s="43"/>
      <c r="Q64" s="43"/>
      <c r="R64" s="77" t="n">
        <v>1</v>
      </c>
      <c r="S64" s="8"/>
      <c r="U64" s="48"/>
      <c r="V64" s="48"/>
      <c r="W64" s="26" t="str">
        <f aca="false">IF(AND(U64=1,V64=0),"Bonus","")</f>
        <v/>
      </c>
      <c r="X64" s="26"/>
      <c r="Y64" s="49" t="str">
        <f aca="false">IF(U64=1,AR64,"")</f>
        <v/>
      </c>
      <c r="Z64" s="50"/>
      <c r="AA64" s="150"/>
      <c r="AB64" s="50"/>
      <c r="AC64" s="150" t="n">
        <f aca="false">IF(Y64&lt;&gt;ByStudent!Y64,Y64-ByStudent!Y64,0)</f>
        <v>0</v>
      </c>
      <c r="AD64" s="50"/>
      <c r="AE64" s="74"/>
      <c r="AF64" s="0" t="str">
        <f aca="false">IF(AND(AC64&lt;0,AE64=""),"TODO !","")</f>
        <v/>
      </c>
      <c r="AG64" s="53"/>
      <c r="AH64" s="2"/>
      <c r="AI64" s="48" t="n">
        <f aca="false">U64*V64*R64</f>
        <v>0</v>
      </c>
      <c r="AJ64" s="2"/>
      <c r="AK64" s="48" t="str">
        <f aca="false">IF(G64="x",AK$4,"")</f>
        <v/>
      </c>
      <c r="AL64" s="48" t="str">
        <f aca="false">IF(H64="x",AL$4,"")</f>
        <v/>
      </c>
      <c r="AM64" s="48" t="str">
        <f aca="false">IF(I64="x",AM$4,"")</f>
        <v/>
      </c>
      <c r="AN64" s="48" t="str">
        <f aca="false">IF(J64="x",AN$4,"")</f>
        <v/>
      </c>
      <c r="AO64" s="2"/>
      <c r="AP64" s="48" t="n">
        <f aca="false">COUNTIF(G64:J64,"=x")</f>
        <v>0</v>
      </c>
      <c r="AQ64" s="48" t="str">
        <f aca="false">IF(AP64&gt;0,AVERAGE(AK64:AN64),"")</f>
        <v/>
      </c>
      <c r="AR64" s="48" t="str">
        <f aca="false">IF(AND(AP64&gt;0,U64=1),AQ64*R64,"")</f>
        <v/>
      </c>
      <c r="AS64" s="2"/>
      <c r="AT64" s="48" t="n">
        <f aca="false">AI64*3</f>
        <v>0</v>
      </c>
      <c r="AV64" s="54"/>
      <c r="AW64" s="54"/>
    </row>
    <row r="65" customFormat="false" ht="13.2" hidden="true" customHeight="false" outlineLevel="1" collapsed="false">
      <c r="B65" s="107"/>
      <c r="C65" s="82" t="s">
        <v>63</v>
      </c>
      <c r="D65" s="21" t="s">
        <v>66</v>
      </c>
      <c r="E65" s="76"/>
      <c r="F65" s="34"/>
      <c r="G65" s="41"/>
      <c r="H65" s="41"/>
      <c r="I65" s="41"/>
      <c r="J65" s="59"/>
      <c r="K65" s="43"/>
      <c r="L65" s="43"/>
      <c r="Q65" s="43"/>
      <c r="R65" s="77" t="n">
        <v>1</v>
      </c>
      <c r="S65" s="8"/>
      <c r="U65" s="48"/>
      <c r="V65" s="48"/>
      <c r="W65" s="26" t="str">
        <f aca="false">IF(AND(U65=1,V65=0),"Bonus","")</f>
        <v/>
      </c>
      <c r="X65" s="26"/>
      <c r="Y65" s="49" t="str">
        <f aca="false">IF(U65=1,AR65,"")</f>
        <v/>
      </c>
      <c r="Z65" s="50"/>
      <c r="AA65" s="150"/>
      <c r="AB65" s="50"/>
      <c r="AC65" s="150" t="n">
        <f aca="false">IF(Y65&lt;&gt;ByStudent!Y65,Y65-ByStudent!Y65,0)</f>
        <v>0</v>
      </c>
      <c r="AD65" s="50"/>
      <c r="AE65" s="74"/>
      <c r="AF65" s="0" t="str">
        <f aca="false">IF(AND(AC65&lt;0,AE65=""),"TODO !","")</f>
        <v/>
      </c>
      <c r="AG65" s="53"/>
      <c r="AH65" s="2"/>
      <c r="AI65" s="48" t="n">
        <f aca="false">U65*V65*R65</f>
        <v>0</v>
      </c>
      <c r="AJ65" s="2"/>
      <c r="AK65" s="48" t="str">
        <f aca="false">IF(G65="x",AK$4,"")</f>
        <v/>
      </c>
      <c r="AL65" s="48" t="str">
        <f aca="false">IF(H65="x",AL$4,"")</f>
        <v/>
      </c>
      <c r="AM65" s="48" t="str">
        <f aca="false">IF(I65="x",AM$4,"")</f>
        <v/>
      </c>
      <c r="AN65" s="48" t="str">
        <f aca="false">IF(J65="x",AN$4,"")</f>
        <v/>
      </c>
      <c r="AO65" s="2"/>
      <c r="AP65" s="48" t="n">
        <f aca="false">COUNTIF(G65:J65,"=x")</f>
        <v>0</v>
      </c>
      <c r="AQ65" s="48" t="str">
        <f aca="false">IF(AP65&gt;0,AVERAGE(AK65:AN65),"")</f>
        <v/>
      </c>
      <c r="AR65" s="48" t="str">
        <f aca="false">IF(AND(AP65&gt;0,U65=1),AQ65*R65,"")</f>
        <v/>
      </c>
      <c r="AS65" s="2"/>
      <c r="AT65" s="48" t="n">
        <f aca="false">AI65*3</f>
        <v>0</v>
      </c>
      <c r="AV65" s="54"/>
      <c r="AW65" s="54"/>
    </row>
    <row r="66" customFormat="false" ht="13.2" hidden="true" customHeight="false" outlineLevel="1" collapsed="false">
      <c r="B66" s="107"/>
      <c r="C66" s="82" t="s">
        <v>63</v>
      </c>
      <c r="D66" s="21" t="s">
        <v>67</v>
      </c>
      <c r="E66" s="76"/>
      <c r="F66" s="34"/>
      <c r="G66" s="41"/>
      <c r="H66" s="41"/>
      <c r="I66" s="41"/>
      <c r="J66" s="59"/>
      <c r="K66" s="43"/>
      <c r="L66" s="43"/>
      <c r="Q66" s="43"/>
      <c r="R66" s="77" t="n">
        <v>1</v>
      </c>
      <c r="S66" s="8"/>
      <c r="U66" s="48"/>
      <c r="V66" s="48"/>
      <c r="W66" s="26" t="str">
        <f aca="false">IF(AND(U66=1,V66=0),"Bonus","")</f>
        <v/>
      </c>
      <c r="X66" s="26"/>
      <c r="Y66" s="49" t="str">
        <f aca="false">IF(U66=1,AR66,"")</f>
        <v/>
      </c>
      <c r="Z66" s="50"/>
      <c r="AA66" s="150"/>
      <c r="AB66" s="50"/>
      <c r="AC66" s="150" t="n">
        <f aca="false">IF(Y66&lt;&gt;ByStudent!Y66,Y66-ByStudent!Y66,0)</f>
        <v>0</v>
      </c>
      <c r="AD66" s="50"/>
      <c r="AE66" s="74"/>
      <c r="AF66" s="0" t="str">
        <f aca="false">IF(AND(AC66&lt;0,AE66=""),"TODO !","")</f>
        <v/>
      </c>
      <c r="AG66" s="53"/>
      <c r="AH66" s="2"/>
      <c r="AI66" s="48" t="n">
        <f aca="false">U66*V66*R66</f>
        <v>0</v>
      </c>
      <c r="AJ66" s="2"/>
      <c r="AK66" s="48" t="str">
        <f aca="false">IF(G66="x",AK$4,"")</f>
        <v/>
      </c>
      <c r="AL66" s="48" t="str">
        <f aca="false">IF(H66="x",AL$4,"")</f>
        <v/>
      </c>
      <c r="AM66" s="48" t="str">
        <f aca="false">IF(I66="x",AM$4,"")</f>
        <v/>
      </c>
      <c r="AN66" s="48" t="str">
        <f aca="false">IF(J66="x",AN$4,"")</f>
        <v/>
      </c>
      <c r="AO66" s="2"/>
      <c r="AP66" s="48" t="n">
        <f aca="false">COUNTIF(G66:J66,"=x")</f>
        <v>0</v>
      </c>
      <c r="AQ66" s="48" t="str">
        <f aca="false">IF(AP66&gt;0,AVERAGE(AK66:AN66),"")</f>
        <v/>
      </c>
      <c r="AR66" s="48" t="str">
        <f aca="false">IF(AND(AP66&gt;0,U66=1),AQ66*R66,"")</f>
        <v/>
      </c>
      <c r="AS66" s="2"/>
      <c r="AT66" s="48" t="n">
        <f aca="false">AI66*3</f>
        <v>0</v>
      </c>
      <c r="AV66" s="54"/>
      <c r="AW66" s="54"/>
    </row>
    <row r="67" customFormat="false" ht="13.2" hidden="true" customHeight="false" outlineLevel="1" collapsed="false">
      <c r="B67" s="107"/>
      <c r="C67" s="82"/>
      <c r="D67" s="34"/>
      <c r="E67" s="94"/>
      <c r="F67" s="34"/>
      <c r="G67" s="63"/>
      <c r="H67" s="63"/>
      <c r="I67" s="63"/>
      <c r="J67" s="63"/>
      <c r="K67" s="43"/>
      <c r="L67" s="43"/>
      <c r="Q67" s="43"/>
      <c r="R67" s="21"/>
      <c r="S67" s="8"/>
      <c r="U67" s="2"/>
      <c r="V67" s="2"/>
      <c r="W67" s="26"/>
      <c r="X67" s="26"/>
      <c r="Y67" s="65" t="str">
        <f aca="false">IF(U67=1,AR67,"")</f>
        <v/>
      </c>
      <c r="Z67" s="50"/>
      <c r="AA67" s="50"/>
      <c r="AB67" s="50"/>
      <c r="AC67" s="50"/>
      <c r="AD67" s="50"/>
      <c r="AE67" s="73"/>
      <c r="AF67" s="0" t="str">
        <f aca="false">IF(AND(AC67&lt;0,AE67=""),"TODO !","")</f>
        <v/>
      </c>
      <c r="AG67" s="53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V67" s="54"/>
      <c r="AW67" s="54"/>
    </row>
    <row r="68" customFormat="false" ht="13.2" hidden="true" customHeight="false" outlineLevel="1" collapsed="false">
      <c r="B68" s="107"/>
      <c r="C68" s="82" t="s">
        <v>68</v>
      </c>
      <c r="D68" s="34"/>
      <c r="E68" s="76" t="s">
        <v>38</v>
      </c>
      <c r="F68" s="34"/>
      <c r="G68" s="41"/>
      <c r="H68" s="41"/>
      <c r="I68" s="41"/>
      <c r="J68" s="59"/>
      <c r="K68" s="43"/>
      <c r="L68" s="43"/>
      <c r="Q68" s="43"/>
      <c r="R68" s="77" t="n">
        <v>1</v>
      </c>
      <c r="S68" s="8"/>
      <c r="U68" s="48"/>
      <c r="V68" s="48"/>
      <c r="W68" s="26" t="str">
        <f aca="false">IF(AND(U68=1,V68=0),"Bonus","")</f>
        <v/>
      </c>
      <c r="X68" s="26"/>
      <c r="Y68" s="49" t="str">
        <f aca="false">IF(U68=1,AR68,"")</f>
        <v/>
      </c>
      <c r="Z68" s="50"/>
      <c r="AA68" s="150"/>
      <c r="AB68" s="50"/>
      <c r="AC68" s="150" t="n">
        <f aca="false">IF(Y68&lt;&gt;ByStudent!Y68,Y68-ByStudent!Y68,0)</f>
        <v>0</v>
      </c>
      <c r="AD68" s="50"/>
      <c r="AE68" s="74"/>
      <c r="AF68" s="0" t="str">
        <f aca="false">IF(AND(AC68&lt;0,AE68=""),"TODO !","")</f>
        <v/>
      </c>
      <c r="AG68" s="53"/>
      <c r="AH68" s="2"/>
      <c r="AI68" s="48" t="n">
        <f aca="false">U68*V68*R68</f>
        <v>0</v>
      </c>
      <c r="AJ68" s="2"/>
      <c r="AK68" s="48" t="str">
        <f aca="false">IF(G68="x",AK$4,"")</f>
        <v/>
      </c>
      <c r="AL68" s="48" t="str">
        <f aca="false">IF(H68="x",AL$4,"")</f>
        <v/>
      </c>
      <c r="AM68" s="48" t="str">
        <f aca="false">IF(I68="x",AM$4,"")</f>
        <v/>
      </c>
      <c r="AN68" s="48" t="str">
        <f aca="false">IF(J68="x",AN$4,"")</f>
        <v/>
      </c>
      <c r="AO68" s="2"/>
      <c r="AP68" s="48" t="n">
        <f aca="false">COUNTIF(G68:J68,"=x")</f>
        <v>0</v>
      </c>
      <c r="AQ68" s="48" t="str">
        <f aca="false">IF(AP68&gt;0,AVERAGE(AK68:AN68),"")</f>
        <v/>
      </c>
      <c r="AR68" s="48" t="str">
        <f aca="false">IF(AND(AP68&gt;0,U68=1),AQ68*R68,"")</f>
        <v/>
      </c>
      <c r="AS68" s="2"/>
      <c r="AT68" s="48" t="n">
        <f aca="false">AI68*3</f>
        <v>0</v>
      </c>
      <c r="AV68" s="54"/>
      <c r="AW68" s="54"/>
    </row>
    <row r="69" customFormat="false" ht="13.2" hidden="true" customHeight="false" outlineLevel="1" collapsed="false">
      <c r="B69" s="107"/>
      <c r="C69" s="82" t="s">
        <v>68</v>
      </c>
      <c r="D69" s="21" t="s">
        <v>66</v>
      </c>
      <c r="E69" s="76"/>
      <c r="F69" s="34"/>
      <c r="G69" s="41"/>
      <c r="H69" s="41"/>
      <c r="I69" s="41"/>
      <c r="J69" s="59"/>
      <c r="K69" s="43"/>
      <c r="L69" s="43"/>
      <c r="Q69" s="43"/>
      <c r="R69" s="77" t="n">
        <v>1</v>
      </c>
      <c r="S69" s="8"/>
      <c r="U69" s="48"/>
      <c r="V69" s="48"/>
      <c r="W69" s="26" t="str">
        <f aca="false">IF(AND(U69=1,V69=0),"Bonus","")</f>
        <v/>
      </c>
      <c r="X69" s="26"/>
      <c r="Y69" s="49" t="str">
        <f aca="false">IF(U69=1,AR69,"")</f>
        <v/>
      </c>
      <c r="Z69" s="50"/>
      <c r="AA69" s="150"/>
      <c r="AB69" s="50"/>
      <c r="AC69" s="150" t="n">
        <f aca="false">IF(Y69&lt;&gt;ByStudent!Y69,Y69-ByStudent!Y69,0)</f>
        <v>0</v>
      </c>
      <c r="AD69" s="50"/>
      <c r="AE69" s="74"/>
      <c r="AF69" s="0" t="str">
        <f aca="false">IF(AND(AC69&lt;0,AE69=""),"TODO !","")</f>
        <v/>
      </c>
      <c r="AG69" s="53"/>
      <c r="AH69" s="2"/>
      <c r="AI69" s="48" t="n">
        <f aca="false">U69*V69*R69</f>
        <v>0</v>
      </c>
      <c r="AJ69" s="2"/>
      <c r="AK69" s="48" t="str">
        <f aca="false">IF(G69="x",AK$4,"")</f>
        <v/>
      </c>
      <c r="AL69" s="48" t="str">
        <f aca="false">IF(H69="x",AL$4,"")</f>
        <v/>
      </c>
      <c r="AM69" s="48" t="str">
        <f aca="false">IF(I69="x",AM$4,"")</f>
        <v/>
      </c>
      <c r="AN69" s="48" t="str">
        <f aca="false">IF(J69="x",AN$4,"")</f>
        <v/>
      </c>
      <c r="AO69" s="2"/>
      <c r="AP69" s="48" t="n">
        <f aca="false">COUNTIF(G69:J69,"=x")</f>
        <v>0</v>
      </c>
      <c r="AQ69" s="48" t="str">
        <f aca="false">IF(AP69&gt;0,AVERAGE(AK69:AN69),"")</f>
        <v/>
      </c>
      <c r="AR69" s="48" t="str">
        <f aca="false">IF(AND(AP69&gt;0,U69=1),AQ69*R69,"")</f>
        <v/>
      </c>
      <c r="AS69" s="2"/>
      <c r="AT69" s="48" t="n">
        <f aca="false">AI69*3</f>
        <v>0</v>
      </c>
      <c r="AV69" s="54"/>
      <c r="AW69" s="54"/>
    </row>
    <row r="70" customFormat="false" ht="13.2" hidden="true" customHeight="false" outlineLevel="1" collapsed="false">
      <c r="B70" s="107"/>
      <c r="C70" s="55" t="s">
        <v>68</v>
      </c>
      <c r="D70" s="113" t="s">
        <v>67</v>
      </c>
      <c r="E70" s="76"/>
      <c r="F70" s="34"/>
      <c r="G70" s="41"/>
      <c r="H70" s="41"/>
      <c r="I70" s="41"/>
      <c r="J70" s="59"/>
      <c r="K70" s="43"/>
      <c r="L70" s="43"/>
      <c r="Q70" s="43"/>
      <c r="R70" s="77" t="n">
        <v>1</v>
      </c>
      <c r="S70" s="8"/>
      <c r="U70" s="48"/>
      <c r="V70" s="48"/>
      <c r="W70" s="26" t="str">
        <f aca="false">IF(AND(U70=1,V70=0),"Bonus","")</f>
        <v/>
      </c>
      <c r="X70" s="26"/>
      <c r="Y70" s="49" t="str">
        <f aca="false">IF(U70=1,AR70,"")</f>
        <v/>
      </c>
      <c r="Z70" s="50"/>
      <c r="AA70" s="150"/>
      <c r="AB70" s="50"/>
      <c r="AC70" s="150" t="n">
        <f aca="false">IF(Y70&lt;&gt;ByStudent!Y70,Y70-ByStudent!Y70,0)</f>
        <v>0</v>
      </c>
      <c r="AD70" s="50"/>
      <c r="AE70" s="74"/>
      <c r="AF70" s="0" t="str">
        <f aca="false">IF(AND(AC70&lt;0,AE70=""),"TODO !","")</f>
        <v/>
      </c>
      <c r="AG70" s="53"/>
      <c r="AH70" s="2"/>
      <c r="AI70" s="48" t="n">
        <f aca="false">U70*V70*R70</f>
        <v>0</v>
      </c>
      <c r="AJ70" s="2"/>
      <c r="AK70" s="48" t="str">
        <f aca="false">IF(G70="x",AK$4,"")</f>
        <v/>
      </c>
      <c r="AL70" s="48" t="str">
        <f aca="false">IF(H70="x",AL$4,"")</f>
        <v/>
      </c>
      <c r="AM70" s="48" t="str">
        <f aca="false">IF(I70="x",AM$4,"")</f>
        <v/>
      </c>
      <c r="AN70" s="48" t="str">
        <f aca="false">IF(J70="x",AN$4,"")</f>
        <v/>
      </c>
      <c r="AO70" s="2"/>
      <c r="AP70" s="48" t="n">
        <f aca="false">COUNTIF(G70:J70,"=x")</f>
        <v>0</v>
      </c>
      <c r="AQ70" s="48" t="str">
        <f aca="false">IF(AP70&gt;0,AVERAGE(AK70:AN70),"")</f>
        <v/>
      </c>
      <c r="AR70" s="48" t="str">
        <f aca="false">IF(AND(AP70&gt;0,U70=1),AQ70*R70,"")</f>
        <v/>
      </c>
      <c r="AS70" s="2"/>
      <c r="AT70" s="48" t="n">
        <f aca="false">AI70*3</f>
        <v>0</v>
      </c>
      <c r="AV70" s="54"/>
      <c r="AW70" s="54"/>
    </row>
    <row r="71" customFormat="false" ht="13.2" hidden="false" customHeight="false" outlineLevel="0" collapsed="false">
      <c r="B71" s="23"/>
      <c r="C71" s="34"/>
      <c r="D71" s="34"/>
      <c r="E71" s="34"/>
      <c r="F71" s="34"/>
      <c r="G71" s="63"/>
      <c r="H71" s="63"/>
      <c r="I71" s="63"/>
      <c r="J71" s="102"/>
      <c r="K71" s="43"/>
      <c r="L71" s="43"/>
      <c r="Q71" s="43"/>
      <c r="R71" s="21"/>
      <c r="S71" s="21"/>
      <c r="U71" s="2"/>
      <c r="V71" s="2"/>
      <c r="W71" s="26" t="str">
        <f aca="false">IF(AND(U71=1,V71=0),"Bonus","")</f>
        <v/>
      </c>
      <c r="X71" s="26"/>
      <c r="Y71" s="65"/>
      <c r="Z71" s="50"/>
      <c r="AA71" s="50"/>
      <c r="AB71" s="50"/>
      <c r="AC71" s="50"/>
      <c r="AD71" s="50"/>
      <c r="AE71" s="73"/>
      <c r="AF71" s="0" t="str">
        <f aca="false">IF(AND(AC71&lt;0,AE71=""),"TODO !","")</f>
        <v/>
      </c>
      <c r="AG71" s="114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V71" s="66"/>
      <c r="AW71" s="66"/>
    </row>
    <row r="72" customFormat="false" ht="13.2" hidden="false" customHeight="false" outlineLevel="1" collapsed="false">
      <c r="B72" s="23"/>
      <c r="C72" s="34"/>
      <c r="D72" s="34"/>
      <c r="E72" s="34"/>
      <c r="F72" s="34"/>
      <c r="G72" s="63"/>
      <c r="H72" s="63"/>
      <c r="I72" s="63"/>
      <c r="J72" s="63"/>
      <c r="K72" s="43"/>
      <c r="L72" s="43"/>
      <c r="Q72" s="43"/>
      <c r="R72" s="21"/>
      <c r="S72" s="21"/>
      <c r="U72" s="2"/>
      <c r="V72" s="2"/>
      <c r="W72" s="26" t="str">
        <f aca="false">IF(AND(U72=1,V72=0),"Bonus","")</f>
        <v/>
      </c>
      <c r="X72" s="26"/>
      <c r="Y72" s="65"/>
      <c r="Z72" s="50"/>
      <c r="AA72" s="50"/>
      <c r="AB72" s="50"/>
      <c r="AC72" s="50"/>
      <c r="AD72" s="50"/>
      <c r="AE72" s="73"/>
      <c r="AF72" s="0" t="str">
        <f aca="false">IF(AND(AC72&lt;0,AE72=""),"TODO !","")</f>
        <v/>
      </c>
      <c r="AG72" s="114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V72" s="66"/>
      <c r="AW72" s="66"/>
    </row>
    <row r="73" customFormat="false" ht="12.75" hidden="false" customHeight="true" outlineLevel="1" collapsed="false">
      <c r="B73" s="107" t="s">
        <v>69</v>
      </c>
      <c r="C73" s="38" t="s">
        <v>70</v>
      </c>
      <c r="D73" s="39"/>
      <c r="E73" s="92"/>
      <c r="F73" s="34"/>
      <c r="G73" s="41"/>
      <c r="H73" s="41"/>
      <c r="I73" s="42"/>
      <c r="J73" s="41"/>
      <c r="K73" s="43"/>
      <c r="L73" s="43"/>
      <c r="Q73" s="43"/>
      <c r="R73" s="77" t="n">
        <v>3</v>
      </c>
      <c r="S73" s="8" t="n">
        <f aca="false">SUM(R73:R81)</f>
        <v>23</v>
      </c>
      <c r="U73" s="48"/>
      <c r="V73" s="48"/>
      <c r="W73" s="26" t="str">
        <f aca="false">IF(AND(U73=1,V73=0),"Bonus","")</f>
        <v/>
      </c>
      <c r="X73" s="26"/>
      <c r="Y73" s="49" t="str">
        <f aca="false">IF(U73=1,AR73,"")</f>
        <v/>
      </c>
      <c r="Z73" s="50"/>
      <c r="AA73" s="150"/>
      <c r="AB73" s="50"/>
      <c r="AC73" s="150" t="n">
        <f aca="false">IF(Y73&lt;&gt;ByStudent!Y73,Y73-ByStudent!Y73,0)</f>
        <v>0</v>
      </c>
      <c r="AD73" s="50"/>
      <c r="AE73" s="74"/>
      <c r="AF73" s="0" t="str">
        <f aca="false">IF(AND(AC73&lt;0,AE73=""),"TODO !","")</f>
        <v/>
      </c>
      <c r="AG73" s="53" t="s">
        <v>71</v>
      </c>
      <c r="AH73" s="2"/>
      <c r="AI73" s="48" t="n">
        <f aca="false">U73*V73*R73</f>
        <v>0</v>
      </c>
      <c r="AJ73" s="2"/>
      <c r="AK73" s="48" t="str">
        <f aca="false">IF(G73="x",AK$4,"")</f>
        <v/>
      </c>
      <c r="AL73" s="48" t="str">
        <f aca="false">IF(H73="x",AL$4,"")</f>
        <v/>
      </c>
      <c r="AM73" s="48" t="str">
        <f aca="false">IF(I73="x",AM$4,"")</f>
        <v/>
      </c>
      <c r="AN73" s="48" t="str">
        <f aca="false">IF(J73="x",AN$4,"")</f>
        <v/>
      </c>
      <c r="AO73" s="2"/>
      <c r="AP73" s="48" t="n">
        <f aca="false">COUNTIF(G73:J73,"=x")</f>
        <v>0</v>
      </c>
      <c r="AQ73" s="48" t="str">
        <f aca="false">IF(AP73&gt;0,AVERAGE(AK73:AN73),"")</f>
        <v/>
      </c>
      <c r="AR73" s="48" t="str">
        <f aca="false">IF(AND(AP73&gt;0,U73=1),AQ73*R73,"")</f>
        <v/>
      </c>
      <c r="AS73" s="2"/>
      <c r="AT73" s="48" t="n">
        <f aca="false">AI73*3</f>
        <v>0</v>
      </c>
      <c r="AV73" s="54" t="n">
        <f aca="false">SUM(AR73:AR76,AR78:AR81)</f>
        <v>0</v>
      </c>
      <c r="AW73" s="54" t="n">
        <f aca="false">SUM(AT73:AT76,AT78:AT81)</f>
        <v>0</v>
      </c>
    </row>
    <row r="74" customFormat="false" ht="13.2" hidden="false" customHeight="false" outlineLevel="1" collapsed="false">
      <c r="B74" s="107"/>
      <c r="C74" s="82" t="s">
        <v>72</v>
      </c>
      <c r="D74" s="34"/>
      <c r="E74" s="93"/>
      <c r="F74" s="34"/>
      <c r="G74" s="41"/>
      <c r="H74" s="41"/>
      <c r="I74" s="42"/>
      <c r="J74" s="41"/>
      <c r="K74" s="43"/>
      <c r="L74" s="43"/>
      <c r="Q74" s="43"/>
      <c r="R74" s="77" t="n">
        <v>4</v>
      </c>
      <c r="S74" s="8"/>
      <c r="U74" s="48"/>
      <c r="V74" s="48"/>
      <c r="W74" s="26" t="str">
        <f aca="false">IF(AND(U74=1,V74=0),"Bonus","")</f>
        <v/>
      </c>
      <c r="X74" s="26"/>
      <c r="Y74" s="49" t="str">
        <f aca="false">IF(U74=1,AR74,"")</f>
        <v/>
      </c>
      <c r="Z74" s="50"/>
      <c r="AA74" s="150"/>
      <c r="AB74" s="50"/>
      <c r="AC74" s="150" t="n">
        <f aca="false">IF(Y74&lt;&gt;ByStudent!Y74,Y74-ByStudent!Y74,0)</f>
        <v>0</v>
      </c>
      <c r="AD74" s="50"/>
      <c r="AE74" s="74"/>
      <c r="AF74" s="0" t="str">
        <f aca="false">IF(AND(AC74&lt;0,AE74=""),"TODO !","")</f>
        <v/>
      </c>
      <c r="AG74" s="53"/>
      <c r="AH74" s="2"/>
      <c r="AI74" s="48" t="n">
        <f aca="false">U74*V74*R74</f>
        <v>0</v>
      </c>
      <c r="AJ74" s="2"/>
      <c r="AK74" s="48" t="str">
        <f aca="false">IF(G74="x",AK$4,"")</f>
        <v/>
      </c>
      <c r="AL74" s="48" t="str">
        <f aca="false">IF(H74="x",AL$4,"")</f>
        <v/>
      </c>
      <c r="AM74" s="48" t="str">
        <f aca="false">IF(I74="x",AM$4,"")</f>
        <v/>
      </c>
      <c r="AN74" s="48" t="str">
        <f aca="false">IF(J74="x",AN$4,"")</f>
        <v/>
      </c>
      <c r="AO74" s="2"/>
      <c r="AP74" s="48" t="n">
        <f aca="false">COUNTIF(G74:J74,"=x")</f>
        <v>0</v>
      </c>
      <c r="AQ74" s="48" t="str">
        <f aca="false">IF(AP74&gt;0,AVERAGE(AK74:AN74),"")</f>
        <v/>
      </c>
      <c r="AR74" s="48" t="str">
        <f aca="false">IF(AND(AP74&gt;0,U74=1),AQ74*R74,"")</f>
        <v/>
      </c>
      <c r="AS74" s="2"/>
      <c r="AT74" s="48" t="n">
        <f aca="false">AI74*3</f>
        <v>0</v>
      </c>
      <c r="AV74" s="54"/>
      <c r="AW74" s="54"/>
    </row>
    <row r="75" customFormat="false" ht="13.2" hidden="false" customHeight="false" outlineLevel="1" collapsed="false">
      <c r="B75" s="107"/>
      <c r="C75" s="82" t="s">
        <v>73</v>
      </c>
      <c r="D75" s="34"/>
      <c r="E75" s="115"/>
      <c r="F75" s="34"/>
      <c r="G75" s="41"/>
      <c r="H75" s="41"/>
      <c r="I75" s="42"/>
      <c r="J75" s="41"/>
      <c r="K75" s="43"/>
      <c r="L75" s="43"/>
      <c r="Q75" s="43"/>
      <c r="R75" s="77" t="n">
        <v>4</v>
      </c>
      <c r="S75" s="8"/>
      <c r="U75" s="48"/>
      <c r="V75" s="48"/>
      <c r="W75" s="26" t="str">
        <f aca="false">IF(AND(U75=1,V75=0),"Bonus","")</f>
        <v/>
      </c>
      <c r="X75" s="26"/>
      <c r="Y75" s="49" t="str">
        <f aca="false">IF(U75=1,AR75,"")</f>
        <v/>
      </c>
      <c r="Z75" s="50"/>
      <c r="AA75" s="150"/>
      <c r="AB75" s="50"/>
      <c r="AC75" s="150" t="n">
        <f aca="false">IF(Y75&lt;&gt;ByStudent!Y75,Y75-ByStudent!Y75,0)</f>
        <v>0</v>
      </c>
      <c r="AD75" s="50"/>
      <c r="AE75" s="74"/>
      <c r="AF75" s="0" t="str">
        <f aca="false">IF(AND(AC75&lt;0,AE75=""),"TODO !","")</f>
        <v/>
      </c>
      <c r="AG75" s="53"/>
      <c r="AH75" s="2"/>
      <c r="AI75" s="48" t="n">
        <f aca="false">U75*V75*R75</f>
        <v>0</v>
      </c>
      <c r="AJ75" s="2"/>
      <c r="AK75" s="48" t="str">
        <f aca="false">IF(G75="x",AK$4,"")</f>
        <v/>
      </c>
      <c r="AL75" s="48" t="str">
        <f aca="false">IF(H75="x",AL$4,"")</f>
        <v/>
      </c>
      <c r="AM75" s="48" t="str">
        <f aca="false">IF(I75="x",AM$4,"")</f>
        <v/>
      </c>
      <c r="AN75" s="48" t="str">
        <f aca="false">IF(J75="x",AN$4,"")</f>
        <v/>
      </c>
      <c r="AO75" s="2"/>
      <c r="AP75" s="48" t="n">
        <f aca="false">COUNTIF(G75:J75,"=x")</f>
        <v>0</v>
      </c>
      <c r="AQ75" s="48" t="str">
        <f aca="false">IF(AP75&gt;0,AVERAGE(AK75:AN75),"")</f>
        <v/>
      </c>
      <c r="AR75" s="48" t="str">
        <f aca="false">IF(AND(AP75&gt;0,U75=1),AQ75*R75,"")</f>
        <v/>
      </c>
      <c r="AS75" s="2"/>
      <c r="AT75" s="48" t="n">
        <f aca="false">AI75*3</f>
        <v>0</v>
      </c>
      <c r="AV75" s="54"/>
      <c r="AW75" s="54"/>
    </row>
    <row r="76" customFormat="false" ht="13.2" hidden="false" customHeight="false" outlineLevel="1" collapsed="false">
      <c r="B76" s="107"/>
      <c r="C76" s="82" t="s">
        <v>74</v>
      </c>
      <c r="D76" s="34"/>
      <c r="E76" s="115"/>
      <c r="F76" s="34"/>
      <c r="G76" s="41"/>
      <c r="H76" s="41"/>
      <c r="I76" s="42"/>
      <c r="J76" s="41"/>
      <c r="K76" s="43"/>
      <c r="L76" s="43"/>
      <c r="Q76" s="43"/>
      <c r="R76" s="77" t="n">
        <v>4</v>
      </c>
      <c r="S76" s="8"/>
      <c r="U76" s="48"/>
      <c r="V76" s="48"/>
      <c r="W76" s="26" t="str">
        <f aca="false">IF(AND(U76=1,V76=0),"Bonus","")</f>
        <v/>
      </c>
      <c r="X76" s="26"/>
      <c r="Y76" s="49" t="str">
        <f aca="false">IF(U76=1,AR76,"")</f>
        <v/>
      </c>
      <c r="Z76" s="50"/>
      <c r="AA76" s="150"/>
      <c r="AB76" s="50"/>
      <c r="AC76" s="150" t="n">
        <f aca="false">IF(Y76&lt;&gt;ByStudent!Y76,Y76-ByStudent!Y76,0)</f>
        <v>0</v>
      </c>
      <c r="AD76" s="50"/>
      <c r="AE76" s="74"/>
      <c r="AF76" s="0" t="str">
        <f aca="false">IF(AND(AC76&lt;0,AE76=""),"TODO !","")</f>
        <v/>
      </c>
      <c r="AG76" s="53"/>
      <c r="AH76" s="2"/>
      <c r="AI76" s="48" t="n">
        <f aca="false">U76*V76*R76</f>
        <v>0</v>
      </c>
      <c r="AJ76" s="2"/>
      <c r="AK76" s="48" t="str">
        <f aca="false">IF(G76="x",AK$4,"")</f>
        <v/>
      </c>
      <c r="AL76" s="48" t="str">
        <f aca="false">IF(H76="x",AL$4,"")</f>
        <v/>
      </c>
      <c r="AM76" s="48" t="str">
        <f aca="false">IF(I76="x",AM$4,"")</f>
        <v/>
      </c>
      <c r="AN76" s="48" t="str">
        <f aca="false">IF(J76="x",AN$4,"")</f>
        <v/>
      </c>
      <c r="AO76" s="2"/>
      <c r="AP76" s="48" t="n">
        <f aca="false">COUNTIF(G76:J76,"=x")</f>
        <v>0</v>
      </c>
      <c r="AQ76" s="48" t="str">
        <f aca="false">IF(AP76&gt;0,AVERAGE(AK76:AN76),"")</f>
        <v/>
      </c>
      <c r="AR76" s="48" t="str">
        <f aca="false">IF(AND(AP76&gt;0,U76=1),AQ76*R76,"")</f>
        <v/>
      </c>
      <c r="AS76" s="2"/>
      <c r="AT76" s="48" t="n">
        <f aca="false">AI76*3</f>
        <v>0</v>
      </c>
      <c r="AV76" s="54"/>
      <c r="AW76" s="54"/>
    </row>
    <row r="77" customFormat="false" ht="13.2" hidden="false" customHeight="false" outlineLevel="1" collapsed="false">
      <c r="B77" s="107"/>
      <c r="C77" s="82"/>
      <c r="D77" s="34"/>
      <c r="E77" s="116"/>
      <c r="F77" s="34"/>
      <c r="G77" s="63"/>
      <c r="H77" s="63"/>
      <c r="I77" s="63"/>
      <c r="J77" s="63"/>
      <c r="K77" s="43"/>
      <c r="L77" s="43"/>
      <c r="Q77" s="43"/>
      <c r="R77" s="21"/>
      <c r="S77" s="8"/>
      <c r="U77" s="2"/>
      <c r="V77" s="2"/>
      <c r="W77" s="26" t="str">
        <f aca="false">IF(AND(U77=1,V77=0),"Bonus","")</f>
        <v/>
      </c>
      <c r="X77" s="26"/>
      <c r="Y77" s="65" t="str">
        <f aca="false">IF(U77=1,AR77,"")</f>
        <v/>
      </c>
      <c r="Z77" s="50"/>
      <c r="AA77" s="50"/>
      <c r="AB77" s="50"/>
      <c r="AC77" s="50"/>
      <c r="AD77" s="50"/>
      <c r="AE77" s="73"/>
      <c r="AF77" s="0" t="str">
        <f aca="false">IF(AND(AC77&lt;0,AE77=""),"TODO !","")</f>
        <v/>
      </c>
      <c r="AG77" s="53"/>
      <c r="AH77" s="2"/>
      <c r="AI77" s="117"/>
      <c r="AJ77" s="117"/>
      <c r="AK77" s="117"/>
      <c r="AL77" s="117"/>
      <c r="AM77" s="117"/>
      <c r="AN77" s="117"/>
      <c r="AO77" s="117"/>
      <c r="AP77" s="117"/>
      <c r="AQ77" s="117"/>
      <c r="AR77" s="117"/>
      <c r="AS77" s="117"/>
      <c r="AT77" s="117"/>
      <c r="AV77" s="54"/>
      <c r="AW77" s="54"/>
    </row>
    <row r="78" customFormat="false" ht="13.2" hidden="false" customHeight="false" outlineLevel="1" collapsed="false">
      <c r="B78" s="107"/>
      <c r="C78" s="82" t="s">
        <v>70</v>
      </c>
      <c r="D78" s="34"/>
      <c r="E78" s="118" t="s">
        <v>38</v>
      </c>
      <c r="F78" s="34"/>
      <c r="G78" s="41"/>
      <c r="H78" s="41"/>
      <c r="I78" s="119"/>
      <c r="J78" s="59"/>
      <c r="K78" s="43"/>
      <c r="L78" s="43"/>
      <c r="Q78" s="43"/>
      <c r="R78" s="77" t="n">
        <v>2</v>
      </c>
      <c r="S78" s="8"/>
      <c r="U78" s="48"/>
      <c r="V78" s="48"/>
      <c r="W78" s="26" t="str">
        <f aca="false">IF(AND(U78=1,V78=0),"Bonus","")</f>
        <v/>
      </c>
      <c r="X78" s="26"/>
      <c r="Y78" s="49" t="str">
        <f aca="false">IF(U78=1,AR78,"")</f>
        <v/>
      </c>
      <c r="Z78" s="50"/>
      <c r="AA78" s="150"/>
      <c r="AB78" s="50"/>
      <c r="AC78" s="150" t="n">
        <f aca="false">IF(Y78&lt;&gt;ByStudent!Y78,Y78-ByStudent!Y78,0)</f>
        <v>0</v>
      </c>
      <c r="AD78" s="50"/>
      <c r="AE78" s="74"/>
      <c r="AF78" s="0" t="str">
        <f aca="false">IF(AND(AC78&lt;0,AE78=""),"TODO !","")</f>
        <v/>
      </c>
      <c r="AG78" s="53"/>
      <c r="AH78" s="2"/>
      <c r="AI78" s="48" t="n">
        <f aca="false">U78*V78*R78</f>
        <v>0</v>
      </c>
      <c r="AJ78" s="2"/>
      <c r="AK78" s="48" t="str">
        <f aca="false">IF(G78="x",AK$4,"")</f>
        <v/>
      </c>
      <c r="AL78" s="48" t="str">
        <f aca="false">IF(H78="x",AL$4,"")</f>
        <v/>
      </c>
      <c r="AM78" s="48" t="str">
        <f aca="false">IF(I78="x",AM$4,"")</f>
        <v/>
      </c>
      <c r="AN78" s="48" t="str">
        <f aca="false">IF(J78="x",AN$4,"")</f>
        <v/>
      </c>
      <c r="AO78" s="2"/>
      <c r="AP78" s="48" t="n">
        <f aca="false">COUNTIF(G78:J78,"=x")</f>
        <v>0</v>
      </c>
      <c r="AQ78" s="48" t="str">
        <f aca="false">IF(AP78&gt;0,AVERAGE(AK78:AN78),"")</f>
        <v/>
      </c>
      <c r="AR78" s="48" t="str">
        <f aca="false">IF(AND(AP78&gt;0,U78=1),AQ78*R78,"")</f>
        <v/>
      </c>
      <c r="AS78" s="2"/>
      <c r="AT78" s="48" t="n">
        <f aca="false">AI78*3</f>
        <v>0</v>
      </c>
      <c r="AV78" s="54"/>
      <c r="AW78" s="54"/>
    </row>
    <row r="79" customFormat="false" ht="13.2" hidden="false" customHeight="false" outlineLevel="1" collapsed="false">
      <c r="B79" s="107"/>
      <c r="C79" s="82" t="s">
        <v>72</v>
      </c>
      <c r="D79" s="34"/>
      <c r="E79" s="118"/>
      <c r="F79" s="34"/>
      <c r="G79" s="41"/>
      <c r="H79" s="41"/>
      <c r="I79" s="119"/>
      <c r="J79" s="59"/>
      <c r="K79" s="43"/>
      <c r="L79" s="43"/>
      <c r="Q79" s="43"/>
      <c r="R79" s="77" t="n">
        <v>2</v>
      </c>
      <c r="S79" s="8"/>
      <c r="U79" s="48"/>
      <c r="V79" s="48"/>
      <c r="W79" s="26" t="str">
        <f aca="false">IF(AND(U79=1,V79=0),"Bonus","")</f>
        <v/>
      </c>
      <c r="X79" s="26"/>
      <c r="Y79" s="49" t="str">
        <f aca="false">IF(U79=1,AR79,"")</f>
        <v/>
      </c>
      <c r="Z79" s="50"/>
      <c r="AA79" s="150"/>
      <c r="AB79" s="50"/>
      <c r="AC79" s="150" t="n">
        <f aca="false">IF(Y79&lt;&gt;ByStudent!Y79,Y79-ByStudent!Y79,0)</f>
        <v>0</v>
      </c>
      <c r="AD79" s="50"/>
      <c r="AE79" s="74"/>
      <c r="AF79" s="0" t="str">
        <f aca="false">IF(AND(AC79&lt;0,AE79=""),"TODO !","")</f>
        <v/>
      </c>
      <c r="AG79" s="53"/>
      <c r="AH79" s="2"/>
      <c r="AI79" s="48" t="n">
        <f aca="false">U79*V79*R79</f>
        <v>0</v>
      </c>
      <c r="AJ79" s="2"/>
      <c r="AK79" s="48" t="str">
        <f aca="false">IF(G79="x",AK$4,"")</f>
        <v/>
      </c>
      <c r="AL79" s="48" t="str">
        <f aca="false">IF(H79="x",AL$4,"")</f>
        <v/>
      </c>
      <c r="AM79" s="48" t="str">
        <f aca="false">IF(I79="x",AM$4,"")</f>
        <v/>
      </c>
      <c r="AN79" s="48" t="str">
        <f aca="false">IF(J79="x",AN$4,"")</f>
        <v/>
      </c>
      <c r="AO79" s="2"/>
      <c r="AP79" s="48" t="n">
        <f aca="false">COUNTIF(G79:J79,"=x")</f>
        <v>0</v>
      </c>
      <c r="AQ79" s="48" t="str">
        <f aca="false">IF(AP79&gt;0,AVERAGE(AK79:AN79),"")</f>
        <v/>
      </c>
      <c r="AR79" s="48" t="str">
        <f aca="false">IF(AND(AP79&gt;0,U79=1),AQ79*R79,"")</f>
        <v/>
      </c>
      <c r="AS79" s="2"/>
      <c r="AT79" s="48" t="n">
        <f aca="false">AI79*3</f>
        <v>0</v>
      </c>
      <c r="AV79" s="54"/>
      <c r="AW79" s="54"/>
    </row>
    <row r="80" customFormat="false" ht="13.2" hidden="false" customHeight="false" outlineLevel="1" collapsed="false">
      <c r="B80" s="107"/>
      <c r="C80" s="82" t="s">
        <v>73</v>
      </c>
      <c r="D80" s="34"/>
      <c r="E80" s="118"/>
      <c r="F80" s="34"/>
      <c r="G80" s="41"/>
      <c r="H80" s="41"/>
      <c r="I80" s="119"/>
      <c r="J80" s="59"/>
      <c r="K80" s="43"/>
      <c r="L80" s="43"/>
      <c r="Q80" s="43"/>
      <c r="R80" s="77" t="n">
        <v>2</v>
      </c>
      <c r="S80" s="8"/>
      <c r="U80" s="48"/>
      <c r="V80" s="48"/>
      <c r="W80" s="26" t="str">
        <f aca="false">IF(AND(U80=1,V80=0),"Bonus","")</f>
        <v/>
      </c>
      <c r="X80" s="26"/>
      <c r="Y80" s="49" t="str">
        <f aca="false">IF(U80=1,AR80,"")</f>
        <v/>
      </c>
      <c r="Z80" s="50"/>
      <c r="AA80" s="150"/>
      <c r="AB80" s="50"/>
      <c r="AC80" s="150" t="n">
        <f aca="false">IF(Y80&lt;&gt;ByStudent!Y80,Y80-ByStudent!Y80,0)</f>
        <v>0</v>
      </c>
      <c r="AD80" s="50"/>
      <c r="AE80" s="74"/>
      <c r="AF80" s="0" t="str">
        <f aca="false">IF(AND(AC80&lt;0,AE80=""),"TODO !","")</f>
        <v/>
      </c>
      <c r="AG80" s="53"/>
      <c r="AH80" s="2"/>
      <c r="AI80" s="48" t="n">
        <f aca="false">U80*V80*R80</f>
        <v>0</v>
      </c>
      <c r="AJ80" s="2"/>
      <c r="AK80" s="48" t="str">
        <f aca="false">IF(G80="x",AK$4,"")</f>
        <v/>
      </c>
      <c r="AL80" s="48" t="str">
        <f aca="false">IF(H80="x",AL$4,"")</f>
        <v/>
      </c>
      <c r="AM80" s="48" t="str">
        <f aca="false">IF(I80="x",AM$4,"")</f>
        <v/>
      </c>
      <c r="AN80" s="48" t="str">
        <f aca="false">IF(J80="x",AN$4,"")</f>
        <v/>
      </c>
      <c r="AO80" s="2"/>
      <c r="AP80" s="48" t="n">
        <f aca="false">COUNTIF(G80:J80,"=x")</f>
        <v>0</v>
      </c>
      <c r="AQ80" s="48" t="str">
        <f aca="false">IF(AP80&gt;0,AVERAGE(AK80:AN80),"")</f>
        <v/>
      </c>
      <c r="AR80" s="48" t="str">
        <f aca="false">IF(AND(AP80&gt;0,U80=1),AQ80*R80,"")</f>
        <v/>
      </c>
      <c r="AS80" s="2"/>
      <c r="AT80" s="48" t="n">
        <f aca="false">AI80*3</f>
        <v>0</v>
      </c>
      <c r="AV80" s="54"/>
      <c r="AW80" s="54"/>
    </row>
    <row r="81" customFormat="false" ht="13.2" hidden="false" customHeight="false" outlineLevel="1" collapsed="false">
      <c r="B81" s="107"/>
      <c r="C81" s="55" t="s">
        <v>74</v>
      </c>
      <c r="D81" s="56"/>
      <c r="E81" s="118"/>
      <c r="F81" s="34"/>
      <c r="G81" s="41"/>
      <c r="H81" s="41"/>
      <c r="I81" s="119"/>
      <c r="J81" s="59"/>
      <c r="K81" s="43"/>
      <c r="L81" s="43"/>
      <c r="Q81" s="43"/>
      <c r="R81" s="77" t="n">
        <v>2</v>
      </c>
      <c r="S81" s="8"/>
      <c r="U81" s="48"/>
      <c r="V81" s="48"/>
      <c r="W81" s="26" t="str">
        <f aca="false">IF(AND(U81=1,V81=0),"Bonus","")</f>
        <v/>
      </c>
      <c r="X81" s="26"/>
      <c r="Y81" s="49" t="str">
        <f aca="false">IF(U81=1,AR81,"")</f>
        <v/>
      </c>
      <c r="Z81" s="50"/>
      <c r="AA81" s="150"/>
      <c r="AB81" s="50"/>
      <c r="AC81" s="150" t="n">
        <f aca="false">IF(Y81&lt;&gt;ByStudent!Y81,Y81-ByStudent!Y81,0)</f>
        <v>0</v>
      </c>
      <c r="AD81" s="50"/>
      <c r="AE81" s="74"/>
      <c r="AF81" s="0" t="str">
        <f aca="false">IF(AND(AC81&lt;0,AE81=""),"TODO !","")</f>
        <v/>
      </c>
      <c r="AG81" s="53"/>
      <c r="AH81" s="2"/>
      <c r="AI81" s="48" t="n">
        <f aca="false">U81*V81*R81</f>
        <v>0</v>
      </c>
      <c r="AJ81" s="2"/>
      <c r="AK81" s="48" t="str">
        <f aca="false">IF(G81="x",AK$4,"")</f>
        <v/>
      </c>
      <c r="AL81" s="48" t="str">
        <f aca="false">IF(H81="x",AL$4,"")</f>
        <v/>
      </c>
      <c r="AM81" s="48" t="str">
        <f aca="false">IF(I81="x",AM$4,"")</f>
        <v/>
      </c>
      <c r="AN81" s="48" t="str">
        <f aca="false">IF(J81="x",AN$4,"")</f>
        <v/>
      </c>
      <c r="AO81" s="2"/>
      <c r="AP81" s="48" t="n">
        <f aca="false">COUNTIF(G81:J81,"=x")</f>
        <v>0</v>
      </c>
      <c r="AQ81" s="48" t="str">
        <f aca="false">IF(AP81&gt;0,AVERAGE(AK81:AN81),"")</f>
        <v/>
      </c>
      <c r="AR81" s="48" t="str">
        <f aca="false">IF(AND(AP81&gt;0,U81=1),AQ81*R81,"")</f>
        <v/>
      </c>
      <c r="AS81" s="2"/>
      <c r="AT81" s="48" t="n">
        <f aca="false">AI81*3</f>
        <v>0</v>
      </c>
      <c r="AV81" s="54"/>
      <c r="AW81" s="54"/>
    </row>
    <row r="82" customFormat="false" ht="13.2" hidden="false" customHeight="false" outlineLevel="1" collapsed="false">
      <c r="B82" s="23"/>
      <c r="C82" s="34"/>
      <c r="D82" s="34"/>
      <c r="E82" s="34"/>
      <c r="F82" s="34"/>
      <c r="G82" s="63"/>
      <c r="H82" s="63"/>
      <c r="I82" s="63"/>
      <c r="J82" s="63"/>
      <c r="K82" s="43"/>
      <c r="L82" s="43"/>
      <c r="Q82" s="43"/>
      <c r="S82" s="69"/>
      <c r="U82" s="2"/>
      <c r="V82" s="2"/>
      <c r="W82" s="26"/>
      <c r="X82" s="26"/>
      <c r="Y82" s="65"/>
      <c r="Z82" s="50"/>
      <c r="AA82" s="50"/>
      <c r="AB82" s="50"/>
      <c r="AC82" s="50"/>
      <c r="AD82" s="50"/>
      <c r="AE82" s="73"/>
      <c r="AF82" s="0" t="str">
        <f aca="false">IF(AND(AC82&lt;0,AE82=""),"TODO !","")</f>
        <v/>
      </c>
      <c r="AG82" s="114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V82" s="66"/>
      <c r="AW82" s="66"/>
    </row>
    <row r="83" customFormat="false" ht="13.2" hidden="false" customHeight="false" outlineLevel="0" collapsed="false">
      <c r="B83" s="23"/>
      <c r="C83" s="34"/>
      <c r="D83" s="34"/>
      <c r="E83" s="34"/>
      <c r="F83" s="34"/>
      <c r="G83" s="63"/>
      <c r="H83" s="63"/>
      <c r="I83" s="63"/>
      <c r="J83" s="63"/>
      <c r="K83" s="43"/>
      <c r="L83" s="43"/>
      <c r="Q83" s="43"/>
      <c r="R83" s="21"/>
      <c r="S83" s="21"/>
      <c r="U83" s="2"/>
      <c r="V83" s="2"/>
      <c r="W83" s="26"/>
      <c r="X83" s="26"/>
      <c r="Y83" s="65"/>
      <c r="Z83" s="50"/>
      <c r="AA83" s="50"/>
      <c r="AB83" s="50"/>
      <c r="AC83" s="50"/>
      <c r="AD83" s="50"/>
      <c r="AE83" s="73"/>
      <c r="AF83" s="0" t="str">
        <f aca="false">IF(AND(AC83&lt;0,AE83=""),"TODO !","")</f>
        <v/>
      </c>
      <c r="AG83" s="121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</row>
    <row r="84" customFormat="false" ht="13.2" hidden="false" customHeight="false" outlineLevel="1" collapsed="false">
      <c r="B84" s="107" t="s">
        <v>75</v>
      </c>
      <c r="C84" s="38" t="s">
        <v>76</v>
      </c>
      <c r="D84" s="39"/>
      <c r="E84" s="92"/>
      <c r="F84" s="34"/>
      <c r="G84" s="41"/>
      <c r="H84" s="41"/>
      <c r="I84" s="42"/>
      <c r="J84" s="41"/>
      <c r="K84" s="43"/>
      <c r="L84" s="43"/>
      <c r="Q84" s="43"/>
      <c r="R84" s="77" t="n">
        <v>1</v>
      </c>
      <c r="S84" s="8" t="n">
        <f aca="false">SUM(R84:R90)</f>
        <v>26</v>
      </c>
      <c r="U84" s="48"/>
      <c r="V84" s="48"/>
      <c r="W84" s="26" t="str">
        <f aca="false">IF(AND(U84=1,V84=0),"Bonus","")</f>
        <v/>
      </c>
      <c r="X84" s="26"/>
      <c r="Y84" s="49" t="str">
        <f aca="false">IF(U84=1,AR84,"")</f>
        <v/>
      </c>
      <c r="Z84" s="50"/>
      <c r="AA84" s="150"/>
      <c r="AB84" s="50"/>
      <c r="AC84" s="150" t="e">
        <f aca="false">IF(Y84&lt;&gt;ByStudent!Y84,Y84-ByStudent!Y84,0)</f>
        <v>#VALUE!</v>
      </c>
      <c r="AD84" s="50"/>
      <c r="AE84" s="74"/>
      <c r="AF84" s="0" t="e">
        <f aca="false">IF(AND(AC84&lt;0,AE84=""),"TODO !","")</f>
        <v>#VALUE!</v>
      </c>
      <c r="AG84" s="53" t="s">
        <v>77</v>
      </c>
      <c r="AH84" s="2"/>
      <c r="AI84" s="48" t="n">
        <f aca="false">U84*V84*R84</f>
        <v>0</v>
      </c>
      <c r="AJ84" s="2"/>
      <c r="AK84" s="48" t="str">
        <f aca="false">IF(G84="x",AK$4,"")</f>
        <v/>
      </c>
      <c r="AL84" s="48" t="str">
        <f aca="false">IF(H84="x",AL$4,"")</f>
        <v/>
      </c>
      <c r="AM84" s="48" t="str">
        <f aca="false">IF(I84="x",AM$4,"")</f>
        <v/>
      </c>
      <c r="AN84" s="48" t="str">
        <f aca="false">IF(J84="x",AN$4,"")</f>
        <v/>
      </c>
      <c r="AO84" s="2"/>
      <c r="AP84" s="48" t="n">
        <f aca="false">COUNTIF(G84:J84,"=x")</f>
        <v>0</v>
      </c>
      <c r="AQ84" s="48" t="str">
        <f aca="false">IF(AP84&gt;0,AVERAGE(AK84:AN84),"")</f>
        <v/>
      </c>
      <c r="AR84" s="48" t="str">
        <f aca="false">IF(AND(AP84&gt;0,U84=1),AQ84*R84,"")</f>
        <v/>
      </c>
      <c r="AS84" s="2"/>
      <c r="AT84" s="48" t="n">
        <f aca="false">AI84*3</f>
        <v>0</v>
      </c>
      <c r="AV84" s="54" t="n">
        <f aca="false">SUM(AR84:AR90)</f>
        <v>0</v>
      </c>
      <c r="AW84" s="54" t="n">
        <f aca="false">SUM(AT84:AT90)</f>
        <v>0</v>
      </c>
    </row>
    <row r="85" customFormat="false" ht="13.2" hidden="false" customHeight="false" outlineLevel="1" collapsed="false">
      <c r="B85" s="107"/>
      <c r="C85" s="82" t="s">
        <v>78</v>
      </c>
      <c r="D85" s="34"/>
      <c r="E85" s="93"/>
      <c r="F85" s="34"/>
      <c r="G85" s="41"/>
      <c r="H85" s="41"/>
      <c r="I85" s="42"/>
      <c r="J85" s="41"/>
      <c r="K85" s="43"/>
      <c r="L85" s="43"/>
      <c r="Q85" s="43"/>
      <c r="R85" s="77" t="n">
        <v>6</v>
      </c>
      <c r="S85" s="8"/>
      <c r="U85" s="48"/>
      <c r="V85" s="48"/>
      <c r="W85" s="26" t="str">
        <f aca="false">IF(AND(U85=1,V85=0),"Bonus","")</f>
        <v/>
      </c>
      <c r="X85" s="26"/>
      <c r="Y85" s="49" t="str">
        <f aca="false">IF(U85=1,AR85,"")</f>
        <v/>
      </c>
      <c r="Z85" s="50"/>
      <c r="AA85" s="150"/>
      <c r="AB85" s="50"/>
      <c r="AC85" s="150" t="e">
        <f aca="false">IF(Y85&lt;&gt;ByStudent!Y85,Y85-ByStudent!Y85,0)</f>
        <v>#VALUE!</v>
      </c>
      <c r="AD85" s="50"/>
      <c r="AE85" s="74"/>
      <c r="AF85" s="0" t="e">
        <f aca="false">IF(AND(AC85&lt;0,AE85=""),"TODO !","")</f>
        <v>#VALUE!</v>
      </c>
      <c r="AG85" s="53"/>
      <c r="AH85" s="2"/>
      <c r="AI85" s="48" t="n">
        <f aca="false">U85*V85*R85</f>
        <v>0</v>
      </c>
      <c r="AJ85" s="2"/>
      <c r="AK85" s="48" t="str">
        <f aca="false">IF(G85="x",AK$4,"")</f>
        <v/>
      </c>
      <c r="AL85" s="48" t="str">
        <f aca="false">IF(H85="x",AL$4,"")</f>
        <v/>
      </c>
      <c r="AM85" s="48" t="str">
        <f aca="false">IF(I85="x",AM$4,"")</f>
        <v/>
      </c>
      <c r="AN85" s="48" t="str">
        <f aca="false">IF(J85="x",AN$4,"")</f>
        <v/>
      </c>
      <c r="AO85" s="2"/>
      <c r="AP85" s="48" t="n">
        <f aca="false">COUNTIF(G85:J85,"=x")</f>
        <v>0</v>
      </c>
      <c r="AQ85" s="48" t="str">
        <f aca="false">IF(AP85&gt;0,AVERAGE(AK85:AN85),"")</f>
        <v/>
      </c>
      <c r="AR85" s="48" t="str">
        <f aca="false">IF(AND(AP85&gt;0,U85=1),AQ85*R85,"")</f>
        <v/>
      </c>
      <c r="AS85" s="2"/>
      <c r="AT85" s="48" t="n">
        <f aca="false">AI85*3</f>
        <v>0</v>
      </c>
      <c r="AV85" s="54"/>
      <c r="AW85" s="54"/>
    </row>
    <row r="86" customFormat="false" ht="13.2" hidden="false" customHeight="false" outlineLevel="1" collapsed="false">
      <c r="B86" s="107"/>
      <c r="C86" s="82" t="s">
        <v>79</v>
      </c>
      <c r="D86" s="34"/>
      <c r="E86" s="93"/>
      <c r="F86" s="34"/>
      <c r="G86" s="41"/>
      <c r="H86" s="41"/>
      <c r="I86" s="42"/>
      <c r="J86" s="41"/>
      <c r="K86" s="43"/>
      <c r="L86" s="43"/>
      <c r="Q86" s="43"/>
      <c r="R86" s="77" t="n">
        <v>9</v>
      </c>
      <c r="S86" s="8"/>
      <c r="U86" s="48"/>
      <c r="V86" s="48"/>
      <c r="W86" s="26" t="str">
        <f aca="false">IF(AND(U86=1,V86=0),"Bonus","")</f>
        <v/>
      </c>
      <c r="X86" s="26"/>
      <c r="Y86" s="49" t="str">
        <f aca="false">IF(U86=1,AR86,"")</f>
        <v/>
      </c>
      <c r="Z86" s="50"/>
      <c r="AA86" s="150"/>
      <c r="AB86" s="50"/>
      <c r="AC86" s="150" t="e">
        <f aca="false">IF(Y86&lt;&gt;ByStudent!Y86,Y86-ByStudent!Y86,0)</f>
        <v>#VALUE!</v>
      </c>
      <c r="AD86" s="50"/>
      <c r="AE86" s="74"/>
      <c r="AF86" s="0" t="e">
        <f aca="false">IF(AND(AC86&lt;0,AE86=""),"TODO !","")</f>
        <v>#VALUE!</v>
      </c>
      <c r="AG86" s="53"/>
      <c r="AH86" s="2"/>
      <c r="AI86" s="48" t="n">
        <f aca="false">U86*V86*R86</f>
        <v>0</v>
      </c>
      <c r="AJ86" s="2"/>
      <c r="AK86" s="48" t="str">
        <f aca="false">IF(G86="x",AK$4,"")</f>
        <v/>
      </c>
      <c r="AL86" s="48" t="str">
        <f aca="false">IF(H86="x",AL$4,"")</f>
        <v/>
      </c>
      <c r="AM86" s="48" t="str">
        <f aca="false">IF(I86="x",AM$4,"")</f>
        <v/>
      </c>
      <c r="AN86" s="48" t="str">
        <f aca="false">IF(J86="x",AN$4,"")</f>
        <v/>
      </c>
      <c r="AO86" s="2"/>
      <c r="AP86" s="48" t="n">
        <f aca="false">COUNTIF(G86:J86,"=x")</f>
        <v>0</v>
      </c>
      <c r="AQ86" s="48" t="str">
        <f aca="false">IF(AP86&gt;0,AVERAGE(AK86:AN86),"")</f>
        <v/>
      </c>
      <c r="AR86" s="48" t="str">
        <f aca="false">IF(AND(AP86&gt;0,U86=1),AQ86*R86,"")</f>
        <v/>
      </c>
      <c r="AS86" s="2"/>
      <c r="AT86" s="48" t="n">
        <f aca="false">AI86*3</f>
        <v>0</v>
      </c>
      <c r="AV86" s="54"/>
      <c r="AW86" s="54"/>
    </row>
    <row r="87" customFormat="false" ht="13.2" hidden="false" customHeight="false" outlineLevel="1" collapsed="false">
      <c r="B87" s="107"/>
      <c r="C87" s="82"/>
      <c r="D87" s="34"/>
      <c r="E87" s="93"/>
      <c r="F87" s="34"/>
      <c r="G87" s="63"/>
      <c r="H87" s="63"/>
      <c r="I87" s="63"/>
      <c r="J87" s="63"/>
      <c r="K87" s="43"/>
      <c r="L87" s="43"/>
      <c r="Q87" s="43"/>
      <c r="R87" s="21"/>
      <c r="S87" s="8"/>
      <c r="U87" s="2"/>
      <c r="V87" s="2"/>
      <c r="W87" s="26"/>
      <c r="X87" s="26"/>
      <c r="Y87" s="65"/>
      <c r="Z87" s="50"/>
      <c r="AA87" s="50"/>
      <c r="AB87" s="50"/>
      <c r="AC87" s="50"/>
      <c r="AD87" s="50"/>
      <c r="AE87" s="73"/>
      <c r="AF87" s="0" t="str">
        <f aca="false">IF(AND(AC87&lt;0,AE87=""),"TODO !","")</f>
        <v/>
      </c>
      <c r="AG87" s="53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V87" s="54"/>
      <c r="AW87" s="54"/>
    </row>
    <row r="88" customFormat="false" ht="13.2" hidden="false" customHeight="false" outlineLevel="1" collapsed="false">
      <c r="B88" s="107"/>
      <c r="C88" s="82" t="s">
        <v>76</v>
      </c>
      <c r="D88" s="34"/>
      <c r="E88" s="76" t="s">
        <v>38</v>
      </c>
      <c r="F88" s="34"/>
      <c r="G88" s="41"/>
      <c r="H88" s="41"/>
      <c r="I88" s="41"/>
      <c r="J88" s="59"/>
      <c r="K88" s="43"/>
      <c r="L88" s="43"/>
      <c r="Q88" s="43"/>
      <c r="R88" s="77" t="n">
        <v>1</v>
      </c>
      <c r="S88" s="8"/>
      <c r="U88" s="48"/>
      <c r="V88" s="48"/>
      <c r="W88" s="26" t="str">
        <f aca="false">IF(AND(U88=1,V88=0),"Bonus","")</f>
        <v/>
      </c>
      <c r="X88" s="26"/>
      <c r="Y88" s="49" t="str">
        <f aca="false">IF(U88=1,AR88,"")</f>
        <v/>
      </c>
      <c r="Z88" s="50"/>
      <c r="AA88" s="150"/>
      <c r="AB88" s="50"/>
      <c r="AC88" s="150" t="e">
        <f aca="false">IF(Y88&lt;&gt;ByStudent!Y88,Y88-ByStudent!Y88,0)</f>
        <v>#VALUE!</v>
      </c>
      <c r="AD88" s="50"/>
      <c r="AE88" s="74"/>
      <c r="AF88" s="0" t="e">
        <f aca="false">IF(AND(AC88&lt;0,AE88=""),"TODO !","")</f>
        <v>#VALUE!</v>
      </c>
      <c r="AG88" s="53"/>
      <c r="AH88" s="2"/>
      <c r="AI88" s="48" t="n">
        <f aca="false">U88*V88*R88</f>
        <v>0</v>
      </c>
      <c r="AJ88" s="2"/>
      <c r="AK88" s="48" t="str">
        <f aca="false">IF(G88="x",AK$4,"")</f>
        <v/>
      </c>
      <c r="AL88" s="48" t="str">
        <f aca="false">IF(H88="x",AL$4,"")</f>
        <v/>
      </c>
      <c r="AM88" s="48" t="str">
        <f aca="false">IF(I88="x",AM$4,"")</f>
        <v/>
      </c>
      <c r="AN88" s="48" t="str">
        <f aca="false">IF(J88="x",AN$4,"")</f>
        <v/>
      </c>
      <c r="AO88" s="2"/>
      <c r="AP88" s="48" t="n">
        <f aca="false">COUNTIF(G88:J88,"=x")</f>
        <v>0</v>
      </c>
      <c r="AQ88" s="48" t="str">
        <f aca="false">IF(AP88&gt;0,AVERAGE(AK88:AN88),"")</f>
        <v/>
      </c>
      <c r="AR88" s="48" t="str">
        <f aca="false">IF(AND(AP88&gt;0,U88=1),AQ88*R88,"")</f>
        <v/>
      </c>
      <c r="AS88" s="2"/>
      <c r="AT88" s="48" t="n">
        <f aca="false">AI88*3</f>
        <v>0</v>
      </c>
      <c r="AV88" s="54"/>
      <c r="AW88" s="54"/>
    </row>
    <row r="89" customFormat="false" ht="13.2" hidden="false" customHeight="false" outlineLevel="1" collapsed="false">
      <c r="B89" s="107"/>
      <c r="C89" s="82" t="s">
        <v>78</v>
      </c>
      <c r="D89" s="34"/>
      <c r="E89" s="76"/>
      <c r="F89" s="34"/>
      <c r="G89" s="41"/>
      <c r="H89" s="41"/>
      <c r="I89" s="41"/>
      <c r="J89" s="59"/>
      <c r="K89" s="43"/>
      <c r="L89" s="43"/>
      <c r="Q89" s="43"/>
      <c r="R89" s="77" t="n">
        <v>4</v>
      </c>
      <c r="S89" s="8"/>
      <c r="U89" s="48"/>
      <c r="V89" s="48"/>
      <c r="W89" s="26" t="str">
        <f aca="false">IF(AND(U89=1,V89=0),"Bonus","")</f>
        <v/>
      </c>
      <c r="X89" s="26"/>
      <c r="Y89" s="49" t="str">
        <f aca="false">IF(U89=1,AR89,"")</f>
        <v/>
      </c>
      <c r="Z89" s="50"/>
      <c r="AA89" s="150"/>
      <c r="AB89" s="50"/>
      <c r="AC89" s="150" t="e">
        <f aca="false">IF(Y89&lt;&gt;ByStudent!Y89,Y89-ByStudent!Y89,0)</f>
        <v>#VALUE!</v>
      </c>
      <c r="AD89" s="50"/>
      <c r="AE89" s="74"/>
      <c r="AF89" s="0" t="e">
        <f aca="false">IF(AND(AC89&lt;0,AE89=""),"TODO !","")</f>
        <v>#VALUE!</v>
      </c>
      <c r="AG89" s="53"/>
      <c r="AH89" s="2"/>
      <c r="AI89" s="48" t="n">
        <f aca="false">U89*V89*R89</f>
        <v>0</v>
      </c>
      <c r="AJ89" s="2"/>
      <c r="AK89" s="48" t="str">
        <f aca="false">IF(G89="x",AK$4,"")</f>
        <v/>
      </c>
      <c r="AL89" s="48" t="str">
        <f aca="false">IF(H89="x",AL$4,"")</f>
        <v/>
      </c>
      <c r="AM89" s="48" t="str">
        <f aca="false">IF(I89="x",AM$4,"")</f>
        <v/>
      </c>
      <c r="AN89" s="48" t="str">
        <f aca="false">IF(J89="x",AN$4,"")</f>
        <v/>
      </c>
      <c r="AO89" s="2"/>
      <c r="AP89" s="48" t="n">
        <f aca="false">COUNTIF(G89:J89,"=x")</f>
        <v>0</v>
      </c>
      <c r="AQ89" s="48" t="str">
        <f aca="false">IF(AP89&gt;0,AVERAGE(AK89:AN89),"")</f>
        <v/>
      </c>
      <c r="AR89" s="48" t="str">
        <f aca="false">IF(AND(AP89&gt;0,U89=1),AQ89*R89,"")</f>
        <v/>
      </c>
      <c r="AS89" s="2"/>
      <c r="AT89" s="48" t="n">
        <f aca="false">AI89*3</f>
        <v>0</v>
      </c>
      <c r="AV89" s="54"/>
      <c r="AW89" s="54"/>
    </row>
    <row r="90" customFormat="false" ht="13.2" hidden="false" customHeight="false" outlineLevel="1" collapsed="false">
      <c r="B90" s="107"/>
      <c r="C90" s="55" t="s">
        <v>79</v>
      </c>
      <c r="D90" s="56"/>
      <c r="E90" s="76"/>
      <c r="F90" s="34"/>
      <c r="G90" s="41"/>
      <c r="H90" s="41"/>
      <c r="I90" s="41"/>
      <c r="J90" s="59"/>
      <c r="K90" s="43"/>
      <c r="L90" s="43"/>
      <c r="Q90" s="43"/>
      <c r="R90" s="77" t="n">
        <v>5</v>
      </c>
      <c r="S90" s="8"/>
      <c r="U90" s="48"/>
      <c r="V90" s="48"/>
      <c r="W90" s="26" t="str">
        <f aca="false">IF(AND(U90=1,V90=0),"Bonus","")</f>
        <v/>
      </c>
      <c r="X90" s="26"/>
      <c r="Y90" s="49" t="str">
        <f aca="false">IF(U90=1,AR90,"")</f>
        <v/>
      </c>
      <c r="Z90" s="50"/>
      <c r="AA90" s="150"/>
      <c r="AB90" s="50"/>
      <c r="AC90" s="150" t="e">
        <f aca="false">IF(Y90&lt;&gt;ByStudent!Y90,Y90-ByStudent!Y90,0)</f>
        <v>#VALUE!</v>
      </c>
      <c r="AD90" s="50"/>
      <c r="AE90" s="74"/>
      <c r="AF90" s="0" t="e">
        <f aca="false">IF(AND(AC90&lt;0,AE90=""),"TODO !","")</f>
        <v>#VALUE!</v>
      </c>
      <c r="AG90" s="53"/>
      <c r="AH90" s="2"/>
      <c r="AI90" s="48" t="n">
        <f aca="false">U90*V90*R90</f>
        <v>0</v>
      </c>
      <c r="AJ90" s="2"/>
      <c r="AK90" s="48" t="str">
        <f aca="false">IF(G90="x",AK$4,"")</f>
        <v/>
      </c>
      <c r="AL90" s="48" t="str">
        <f aca="false">IF(H90="x",AL$4,"")</f>
        <v/>
      </c>
      <c r="AM90" s="48" t="str">
        <f aca="false">IF(I90="x",AM$4,"")</f>
        <v/>
      </c>
      <c r="AN90" s="48" t="str">
        <f aca="false">IF(J90="x",AN$4,"")</f>
        <v/>
      </c>
      <c r="AO90" s="2"/>
      <c r="AP90" s="48" t="n">
        <f aca="false">COUNTIF(G90:J90,"=x")</f>
        <v>0</v>
      </c>
      <c r="AQ90" s="48" t="str">
        <f aca="false">IF(AP90&gt;0,AVERAGE(AK90:AN90),"")</f>
        <v/>
      </c>
      <c r="AR90" s="48" t="str">
        <f aca="false">IF(AND(AP90&gt;0,U90=1),AQ90*R90,"")</f>
        <v/>
      </c>
      <c r="AS90" s="2"/>
      <c r="AT90" s="48" t="n">
        <f aca="false">AI90*3</f>
        <v>0</v>
      </c>
      <c r="AV90" s="54"/>
      <c r="AW90" s="54"/>
    </row>
    <row r="91" customFormat="false" ht="13.2" hidden="false" customHeight="false" outlineLevel="0" collapsed="false">
      <c r="B91" s="67"/>
      <c r="C91" s="34"/>
      <c r="D91" s="34"/>
      <c r="E91" s="34"/>
      <c r="F91" s="34"/>
      <c r="G91" s="63"/>
      <c r="H91" s="63"/>
      <c r="I91" s="63"/>
      <c r="J91" s="63"/>
      <c r="K91" s="43"/>
      <c r="L91" s="43"/>
      <c r="Q91" s="43"/>
      <c r="R91" s="21"/>
      <c r="S91" s="21"/>
      <c r="U91" s="2"/>
      <c r="V91" s="2"/>
      <c r="W91" s="26"/>
      <c r="X91" s="26"/>
      <c r="Y91" s="65"/>
      <c r="Z91" s="50"/>
      <c r="AA91" s="50"/>
      <c r="AB91" s="50"/>
      <c r="AC91" s="50"/>
      <c r="AD91" s="50"/>
      <c r="AE91" s="73"/>
      <c r="AF91" s="0" t="str">
        <f aca="false">IF(AND(AC91&lt;0,AE91=""),"TODO !","")</f>
        <v/>
      </c>
      <c r="AG91" s="121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</row>
    <row r="92" customFormat="false" ht="13.2" hidden="true" customHeight="false" outlineLevel="1" collapsed="false">
      <c r="B92" s="67"/>
      <c r="C92" s="123" t="s">
        <v>80</v>
      </c>
      <c r="D92" s="123"/>
      <c r="E92" s="123"/>
      <c r="F92" s="34"/>
      <c r="G92" s="63"/>
      <c r="H92" s="63"/>
      <c r="I92" s="63"/>
      <c r="J92" s="63"/>
      <c r="K92" s="43"/>
      <c r="L92" s="43"/>
      <c r="Q92" s="43"/>
      <c r="R92" s="21"/>
      <c r="S92" s="21"/>
      <c r="U92" s="2"/>
      <c r="V92" s="2"/>
      <c r="W92" s="26"/>
      <c r="X92" s="26"/>
      <c r="Y92" s="65"/>
      <c r="Z92" s="50"/>
      <c r="AA92" s="50"/>
      <c r="AB92" s="50"/>
      <c r="AC92" s="50"/>
      <c r="AD92" s="50"/>
      <c r="AE92" s="73"/>
      <c r="AF92" s="0" t="str">
        <f aca="false">IF(AND(AC92&lt;0,AE92=""),"TODO !","")</f>
        <v/>
      </c>
      <c r="AG92" s="121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</row>
    <row r="93" customFormat="false" ht="13.2" hidden="true" customHeight="false" outlineLevel="1" collapsed="false">
      <c r="B93" s="99" t="s">
        <v>83</v>
      </c>
      <c r="C93" s="38" t="s">
        <v>84</v>
      </c>
      <c r="D93" s="39" t="s">
        <v>20</v>
      </c>
      <c r="E93" s="92" t="s">
        <v>85</v>
      </c>
      <c r="F93" s="34"/>
      <c r="G93" s="41"/>
      <c r="H93" s="41"/>
      <c r="I93" s="207"/>
      <c r="J93" s="41"/>
      <c r="K93" s="43"/>
      <c r="L93" s="43"/>
      <c r="Q93" s="43"/>
      <c r="R93" s="77" t="n">
        <v>1</v>
      </c>
      <c r="S93" s="8" t="n">
        <v>22</v>
      </c>
      <c r="U93" s="48"/>
      <c r="V93" s="48"/>
      <c r="W93" s="26" t="str">
        <f aca="false">IF(AND(U93=1,V93=0),"Bonus","")</f>
        <v/>
      </c>
      <c r="X93" s="26"/>
      <c r="Y93" s="49" t="str">
        <f aca="false">IF(U93=1,AR93,"")</f>
        <v/>
      </c>
      <c r="Z93" s="50"/>
      <c r="AA93" s="150"/>
      <c r="AB93" s="50"/>
      <c r="AC93" s="150" t="e">
        <f aca="false">IF(Y93&lt;&gt;ByStudent!Y93,Y93-ByStudent!Y93,0)</f>
        <v>#VALUE!</v>
      </c>
      <c r="AD93" s="50"/>
      <c r="AE93" s="74"/>
      <c r="AF93" s="0" t="e">
        <f aca="false">IF(AND(AC93&lt;0,AE93=""),"TODO !","")</f>
        <v>#VALUE!</v>
      </c>
      <c r="AG93" s="53" t="s">
        <v>86</v>
      </c>
      <c r="AH93" s="2"/>
      <c r="AI93" s="48" t="n">
        <f aca="false">U93*V93*R93</f>
        <v>0</v>
      </c>
      <c r="AJ93" s="2"/>
      <c r="AK93" s="48" t="str">
        <f aca="false">IF(G93="x",AK$4,"")</f>
        <v/>
      </c>
      <c r="AL93" s="48" t="str">
        <f aca="false">IF(H93="x",AL$4,"")</f>
        <v/>
      </c>
      <c r="AM93" s="48" t="str">
        <f aca="false">IF(I93="x",AM$4,"")</f>
        <v/>
      </c>
      <c r="AN93" s="48" t="str">
        <f aca="false">IF(J93="x",AN$4,"")</f>
        <v/>
      </c>
      <c r="AO93" s="2"/>
      <c r="AP93" s="48" t="n">
        <f aca="false">COUNTIF(G93:J93,"=x")</f>
        <v>0</v>
      </c>
      <c r="AQ93" s="48" t="str">
        <f aca="false">IF(AP93&gt;0,AVERAGE(AK93:AN93),"")</f>
        <v/>
      </c>
      <c r="AR93" s="48" t="str">
        <f aca="false">IF(AND(AP93&gt;0,U93=1),AQ93*R93,"")</f>
        <v/>
      </c>
      <c r="AS93" s="2"/>
      <c r="AT93" s="48" t="n">
        <f aca="false">AI93*3</f>
        <v>0</v>
      </c>
      <c r="AV93" s="54" t="n">
        <f aca="false">SUM(AR93:AR100)</f>
        <v>0</v>
      </c>
      <c r="AW93" s="54" t="n">
        <f aca="false">SUM(AT93:AT100)</f>
        <v>0</v>
      </c>
    </row>
    <row r="94" customFormat="false" ht="13.2" hidden="true" customHeight="false" outlineLevel="1" collapsed="false">
      <c r="B94" s="99"/>
      <c r="C94" s="82"/>
      <c r="D94" s="34"/>
      <c r="E94" s="93" t="s">
        <v>87</v>
      </c>
      <c r="F94" s="3"/>
      <c r="G94" s="41"/>
      <c r="H94" s="41"/>
      <c r="I94" s="207"/>
      <c r="J94" s="41"/>
      <c r="K94" s="43"/>
      <c r="L94" s="43"/>
      <c r="Q94" s="43"/>
      <c r="R94" s="77" t="n">
        <v>2</v>
      </c>
      <c r="S94" s="8"/>
      <c r="U94" s="48"/>
      <c r="V94" s="48"/>
      <c r="W94" s="26" t="str">
        <f aca="false">IF(AND(U94=1,V94=0),"Bonus","")</f>
        <v/>
      </c>
      <c r="X94" s="26"/>
      <c r="Y94" s="49" t="str">
        <f aca="false">IF(U94=1,AR94,"")</f>
        <v/>
      </c>
      <c r="Z94" s="50"/>
      <c r="AA94" s="150"/>
      <c r="AB94" s="50"/>
      <c r="AC94" s="150" t="e">
        <f aca="false">IF(Y94&lt;&gt;ByStudent!Y94,Y94-ByStudent!Y94,0)</f>
        <v>#VALUE!</v>
      </c>
      <c r="AD94" s="50"/>
      <c r="AE94" s="74"/>
      <c r="AF94" s="0" t="e">
        <f aca="false">IF(AND(AC94&lt;0,AE94=""),"TODO !","")</f>
        <v>#VALUE!</v>
      </c>
      <c r="AG94" s="53"/>
      <c r="AH94" s="2"/>
      <c r="AI94" s="48" t="n">
        <f aca="false">U94*V94*R94</f>
        <v>0</v>
      </c>
      <c r="AJ94" s="2"/>
      <c r="AK94" s="48" t="str">
        <f aca="false">IF(G94="x",AK$4,"")</f>
        <v/>
      </c>
      <c r="AL94" s="48" t="str">
        <f aca="false">IF(H94="x",AL$4,"")</f>
        <v/>
      </c>
      <c r="AM94" s="48" t="str">
        <f aca="false">IF(I94="x",AM$4,"")</f>
        <v/>
      </c>
      <c r="AN94" s="48" t="str">
        <f aca="false">IF(J94="x",AN$4,"")</f>
        <v/>
      </c>
      <c r="AO94" s="2"/>
      <c r="AP94" s="48" t="n">
        <f aca="false">COUNTIF(G94:J94,"=x")</f>
        <v>0</v>
      </c>
      <c r="AQ94" s="48" t="str">
        <f aca="false">IF(AP94&gt;0,AVERAGE(AK94:AN94),"")</f>
        <v/>
      </c>
      <c r="AR94" s="48" t="str">
        <f aca="false">IF(AND(AP94&gt;0,U94=1),AQ94*R94,"")</f>
        <v/>
      </c>
      <c r="AS94" s="2"/>
      <c r="AT94" s="48" t="n">
        <f aca="false">AI94*3</f>
        <v>0</v>
      </c>
      <c r="AV94" s="54"/>
      <c r="AW94" s="54"/>
    </row>
    <row r="95" customFormat="false" ht="13.2" hidden="true" customHeight="false" outlineLevel="1" collapsed="false">
      <c r="B95" s="99"/>
      <c r="C95" s="82" t="s">
        <v>84</v>
      </c>
      <c r="D95" s="34" t="s">
        <v>31</v>
      </c>
      <c r="E95" s="93" t="s">
        <v>85</v>
      </c>
      <c r="F95" s="3" t="s">
        <v>35</v>
      </c>
      <c r="G95" s="41"/>
      <c r="H95" s="41"/>
      <c r="I95" s="207"/>
      <c r="J95" s="41"/>
      <c r="K95" s="43"/>
      <c r="L95" s="43"/>
      <c r="Q95" s="43"/>
      <c r="R95" s="77" t="n">
        <v>1</v>
      </c>
      <c r="S95" s="8"/>
      <c r="U95" s="48"/>
      <c r="V95" s="48"/>
      <c r="W95" s="26" t="str">
        <f aca="false">IF(AND(U95=1,V95=0),"Bonus","")</f>
        <v/>
      </c>
      <c r="X95" s="26"/>
      <c r="Y95" s="49" t="str">
        <f aca="false">IF(U95=1,AR95,"")</f>
        <v/>
      </c>
      <c r="Z95" s="50"/>
      <c r="AA95" s="150"/>
      <c r="AB95" s="50"/>
      <c r="AC95" s="150" t="e">
        <f aca="false">IF(Y95&lt;&gt;ByStudent!Y95,Y95-ByStudent!Y95,0)</f>
        <v>#VALUE!</v>
      </c>
      <c r="AD95" s="50"/>
      <c r="AE95" s="74"/>
      <c r="AF95" s="0" t="e">
        <f aca="false">IF(AND(AC95&lt;0,AE95=""),"TODO !","")</f>
        <v>#VALUE!</v>
      </c>
      <c r="AG95" s="53"/>
      <c r="AH95" s="2"/>
      <c r="AI95" s="48" t="n">
        <f aca="false">U95*V95*R95</f>
        <v>0</v>
      </c>
      <c r="AJ95" s="2"/>
      <c r="AK95" s="48" t="str">
        <f aca="false">IF(G95="x",AK$4,"")</f>
        <v/>
      </c>
      <c r="AL95" s="48" t="str">
        <f aca="false">IF(H95="x",AL$4,"")</f>
        <v/>
      </c>
      <c r="AM95" s="48" t="str">
        <f aca="false">IF(I95="x",AM$4,"")</f>
        <v/>
      </c>
      <c r="AN95" s="48" t="str">
        <f aca="false">IF(J95="x",AN$4,"")</f>
        <v/>
      </c>
      <c r="AO95" s="2"/>
      <c r="AP95" s="48" t="n">
        <f aca="false">COUNTIF(G95:J95,"=x")</f>
        <v>0</v>
      </c>
      <c r="AQ95" s="48" t="str">
        <f aca="false">IF(AP95&gt;0,AVERAGE(AK95:AN95),"")</f>
        <v/>
      </c>
      <c r="AR95" s="48" t="str">
        <f aca="false">IF(AND(AP95&gt;0,U95=1),AQ95*R95,"")</f>
        <v/>
      </c>
      <c r="AS95" s="2"/>
      <c r="AT95" s="48" t="n">
        <f aca="false">AI95*3</f>
        <v>0</v>
      </c>
      <c r="AV95" s="54"/>
      <c r="AW95" s="54"/>
    </row>
    <row r="96" customFormat="false" ht="13.2" hidden="true" customHeight="false" outlineLevel="1" collapsed="false">
      <c r="B96" s="99"/>
      <c r="C96" s="82"/>
      <c r="D96" s="34"/>
      <c r="E96" s="93" t="s">
        <v>87</v>
      </c>
      <c r="F96" s="3" t="s">
        <v>35</v>
      </c>
      <c r="G96" s="41"/>
      <c r="H96" s="41"/>
      <c r="I96" s="207"/>
      <c r="J96" s="41"/>
      <c r="K96" s="43"/>
      <c r="L96" s="43"/>
      <c r="Q96" s="43"/>
      <c r="R96" s="77" t="n">
        <v>2</v>
      </c>
      <c r="S96" s="8"/>
      <c r="U96" s="48"/>
      <c r="V96" s="48"/>
      <c r="W96" s="26" t="str">
        <f aca="false">IF(AND(U96=1,V96=0),"Bonus","")</f>
        <v/>
      </c>
      <c r="X96" s="26"/>
      <c r="Y96" s="49" t="str">
        <f aca="false">IF(U96=1,AR96,"")</f>
        <v/>
      </c>
      <c r="Z96" s="50"/>
      <c r="AA96" s="150"/>
      <c r="AB96" s="50"/>
      <c r="AC96" s="150" t="e">
        <f aca="false">IF(Y96&lt;&gt;ByStudent!Y96,Y96-ByStudent!Y96,0)</f>
        <v>#VALUE!</v>
      </c>
      <c r="AD96" s="50"/>
      <c r="AE96" s="74"/>
      <c r="AF96" s="0" t="e">
        <f aca="false">IF(AND(AC96&lt;0,AE96=""),"TODO !","")</f>
        <v>#VALUE!</v>
      </c>
      <c r="AG96" s="53"/>
      <c r="AH96" s="2"/>
      <c r="AI96" s="48" t="n">
        <f aca="false">U96*V96*R96</f>
        <v>0</v>
      </c>
      <c r="AJ96" s="2"/>
      <c r="AK96" s="48" t="str">
        <f aca="false">IF(G96="x",AK$4,"")</f>
        <v/>
      </c>
      <c r="AL96" s="48" t="str">
        <f aca="false">IF(H96="x",AL$4,"")</f>
        <v/>
      </c>
      <c r="AM96" s="48" t="str">
        <f aca="false">IF(I96="x",AM$4,"")</f>
        <v/>
      </c>
      <c r="AN96" s="48" t="str">
        <f aca="false">IF(J96="x",AN$4,"")</f>
        <v/>
      </c>
      <c r="AO96" s="2"/>
      <c r="AP96" s="48" t="n">
        <f aca="false">COUNTIF(G96:J96,"=x")</f>
        <v>0</v>
      </c>
      <c r="AQ96" s="48" t="str">
        <f aca="false">IF(AP96&gt;0,AVERAGE(AK96:AN96),"")</f>
        <v/>
      </c>
      <c r="AR96" s="48" t="str">
        <f aca="false">IF(AND(AP96&gt;0,U96=1),AQ96*R96,"")</f>
        <v/>
      </c>
      <c r="AS96" s="2"/>
      <c r="AT96" s="48" t="n">
        <f aca="false">AI96*3</f>
        <v>0</v>
      </c>
      <c r="AV96" s="54"/>
      <c r="AW96" s="54"/>
    </row>
    <row r="97" customFormat="false" ht="13.2" hidden="true" customHeight="false" outlineLevel="1" collapsed="false">
      <c r="B97" s="99"/>
      <c r="C97" s="82" t="s">
        <v>84</v>
      </c>
      <c r="D97" s="34" t="s">
        <v>88</v>
      </c>
      <c r="E97" s="93" t="s">
        <v>85</v>
      </c>
      <c r="F97" s="3"/>
      <c r="G97" s="41"/>
      <c r="H97" s="41"/>
      <c r="I97" s="207"/>
      <c r="J97" s="41"/>
      <c r="K97" s="43"/>
      <c r="L97" s="43"/>
      <c r="Q97" s="43"/>
      <c r="R97" s="77" t="n">
        <v>1</v>
      </c>
      <c r="S97" s="8"/>
      <c r="U97" s="48"/>
      <c r="V97" s="48"/>
      <c r="W97" s="26" t="str">
        <f aca="false">IF(AND(U97=1,V97=0),"Bonus","")</f>
        <v/>
      </c>
      <c r="X97" s="26"/>
      <c r="Y97" s="49" t="str">
        <f aca="false">IF(U97=1,AR97,"")</f>
        <v/>
      </c>
      <c r="Z97" s="50"/>
      <c r="AA97" s="150"/>
      <c r="AB97" s="50"/>
      <c r="AC97" s="150" t="e">
        <f aca="false">IF(Y97&lt;&gt;ByStudent!Y97,Y97-ByStudent!Y97,0)</f>
        <v>#VALUE!</v>
      </c>
      <c r="AD97" s="50"/>
      <c r="AE97" s="74"/>
      <c r="AF97" s="0" t="e">
        <f aca="false">IF(AND(AC97&lt;0,AE97=""),"TODO !","")</f>
        <v>#VALUE!</v>
      </c>
      <c r="AG97" s="53"/>
      <c r="AH97" s="2"/>
      <c r="AI97" s="48" t="n">
        <f aca="false">U97*V97*R97</f>
        <v>0</v>
      </c>
      <c r="AJ97" s="2"/>
      <c r="AK97" s="48" t="str">
        <f aca="false">IF(G97="x",AK$4,"")</f>
        <v/>
      </c>
      <c r="AL97" s="48" t="str">
        <f aca="false">IF(H97="x",AL$4,"")</f>
        <v/>
      </c>
      <c r="AM97" s="48" t="str">
        <f aca="false">IF(I97="x",AM$4,"")</f>
        <v/>
      </c>
      <c r="AN97" s="48" t="str">
        <f aca="false">IF(J97="x",AN$4,"")</f>
        <v/>
      </c>
      <c r="AO97" s="2"/>
      <c r="AP97" s="48" t="n">
        <f aca="false">COUNTIF(G97:J97,"=x")</f>
        <v>0</v>
      </c>
      <c r="AQ97" s="48" t="str">
        <f aca="false">IF(AP97&gt;0,AVERAGE(AK97:AN97),"")</f>
        <v/>
      </c>
      <c r="AR97" s="48" t="str">
        <f aca="false">IF(AND(AP97&gt;0,U97=1),AQ97*R97,"")</f>
        <v/>
      </c>
      <c r="AS97" s="2"/>
      <c r="AT97" s="48" t="n">
        <f aca="false">AI97*3</f>
        <v>0</v>
      </c>
      <c r="AV97" s="54"/>
      <c r="AW97" s="54"/>
    </row>
    <row r="98" customFormat="false" ht="13.2" hidden="true" customHeight="false" outlineLevel="1" collapsed="false">
      <c r="B98" s="99"/>
      <c r="C98" s="82"/>
      <c r="D98" s="34"/>
      <c r="E98" s="93" t="s">
        <v>87</v>
      </c>
      <c r="F98" s="3"/>
      <c r="G98" s="41"/>
      <c r="H98" s="41"/>
      <c r="I98" s="207"/>
      <c r="J98" s="41"/>
      <c r="K98" s="43"/>
      <c r="L98" s="43"/>
      <c r="Q98" s="43"/>
      <c r="R98" s="77" t="n">
        <v>2</v>
      </c>
      <c r="S98" s="8"/>
      <c r="U98" s="48"/>
      <c r="V98" s="48"/>
      <c r="W98" s="26" t="str">
        <f aca="false">IF(AND(U98=1,V98=0),"Bonus","")</f>
        <v/>
      </c>
      <c r="X98" s="26"/>
      <c r="Y98" s="49" t="str">
        <f aca="false">IF(U98=1,AR98,"")</f>
        <v/>
      </c>
      <c r="Z98" s="50"/>
      <c r="AA98" s="150"/>
      <c r="AB98" s="50"/>
      <c r="AC98" s="150" t="e">
        <f aca="false">IF(Y98&lt;&gt;ByStudent!Y98,Y98-ByStudent!Y98,0)</f>
        <v>#VALUE!</v>
      </c>
      <c r="AD98" s="50"/>
      <c r="AE98" s="74"/>
      <c r="AF98" s="0" t="e">
        <f aca="false">IF(AND(AC98&lt;0,AE98=""),"TODO !","")</f>
        <v>#VALUE!</v>
      </c>
      <c r="AG98" s="53"/>
      <c r="AH98" s="2"/>
      <c r="AI98" s="48" t="n">
        <f aca="false">U98*V98*R98</f>
        <v>0</v>
      </c>
      <c r="AJ98" s="2"/>
      <c r="AK98" s="48" t="str">
        <f aca="false">IF(G98="x",AK$4,"")</f>
        <v/>
      </c>
      <c r="AL98" s="48" t="str">
        <f aca="false">IF(H98="x",AL$4,"")</f>
        <v/>
      </c>
      <c r="AM98" s="48" t="str">
        <f aca="false">IF(I98="x",AM$4,"")</f>
        <v/>
      </c>
      <c r="AN98" s="48" t="str">
        <f aca="false">IF(J98="x",AN$4,"")</f>
        <v/>
      </c>
      <c r="AO98" s="2"/>
      <c r="AP98" s="48" t="n">
        <f aca="false">COUNTIF(G98:J98,"=x")</f>
        <v>0</v>
      </c>
      <c r="AQ98" s="48" t="str">
        <f aca="false">IF(AP98&gt;0,AVERAGE(AK98:AN98),"")</f>
        <v/>
      </c>
      <c r="AR98" s="48" t="str">
        <f aca="false">IF(AND(AP98&gt;0,U98=1),AQ98*R98,"")</f>
        <v/>
      </c>
      <c r="AS98" s="2"/>
      <c r="AT98" s="48" t="n">
        <f aca="false">AI98*3</f>
        <v>0</v>
      </c>
      <c r="AV98" s="54"/>
      <c r="AW98" s="54"/>
    </row>
    <row r="99" customFormat="false" ht="13.2" hidden="true" customHeight="false" outlineLevel="1" collapsed="false">
      <c r="B99" s="99"/>
      <c r="C99" s="82" t="s">
        <v>84</v>
      </c>
      <c r="D99" s="34" t="s">
        <v>161</v>
      </c>
      <c r="E99" s="93" t="s">
        <v>85</v>
      </c>
      <c r="F99" s="3" t="s">
        <v>55</v>
      </c>
      <c r="G99" s="41"/>
      <c r="H99" s="41"/>
      <c r="I99" s="207"/>
      <c r="J99" s="41"/>
      <c r="K99" s="43"/>
      <c r="L99" s="43"/>
      <c r="Q99" s="43"/>
      <c r="R99" s="47" t="n">
        <v>1</v>
      </c>
      <c r="S99" s="8"/>
      <c r="U99" s="48"/>
      <c r="V99" s="48"/>
      <c r="W99" s="26" t="str">
        <f aca="false">IF(AND(U99=1,V99=0),"Bonus","")</f>
        <v/>
      </c>
      <c r="X99" s="26"/>
      <c r="Y99" s="49" t="str">
        <f aca="false">IF(U99=1,AR99,"")</f>
        <v/>
      </c>
      <c r="Z99" s="50"/>
      <c r="AA99" s="150"/>
      <c r="AB99" s="50"/>
      <c r="AC99" s="150" t="e">
        <f aca="false">IF(Y99&lt;&gt;ByStudent!Y99,Y99-ByStudent!Y99,0)</f>
        <v>#VALUE!</v>
      </c>
      <c r="AD99" s="50"/>
      <c r="AE99" s="74"/>
      <c r="AF99" s="0" t="e">
        <f aca="false">IF(AND(AC99&lt;0,AE99=""),"TODO !","")</f>
        <v>#VALUE!</v>
      </c>
      <c r="AG99" s="53"/>
      <c r="AH99" s="2"/>
      <c r="AI99" s="48" t="n">
        <f aca="false">U99*V99*R99</f>
        <v>0</v>
      </c>
      <c r="AJ99" s="2"/>
      <c r="AK99" s="48" t="str">
        <f aca="false">IF(G99="x",AK$4,"")</f>
        <v/>
      </c>
      <c r="AL99" s="48" t="str">
        <f aca="false">IF(H99="x",AL$4,"")</f>
        <v/>
      </c>
      <c r="AM99" s="48" t="str">
        <f aca="false">IF(I99="x",AM$4,"")</f>
        <v/>
      </c>
      <c r="AN99" s="48" t="str">
        <f aca="false">IF(J99="x",AN$4,"")</f>
        <v/>
      </c>
      <c r="AO99" s="2"/>
      <c r="AP99" s="48" t="n">
        <f aca="false">COUNTIF(G99:J99,"=x")</f>
        <v>0</v>
      </c>
      <c r="AQ99" s="48" t="str">
        <f aca="false">IF(AP99&gt;0,AVERAGE(AK99:AN99),"")</f>
        <v/>
      </c>
      <c r="AR99" s="48" t="str">
        <f aca="false">IF(AND(AP99&gt;0,U99=1),AQ99*R99,"")</f>
        <v/>
      </c>
      <c r="AS99" s="2"/>
      <c r="AT99" s="48" t="n">
        <f aca="false">AI99*3</f>
        <v>0</v>
      </c>
      <c r="AV99" s="54"/>
      <c r="AW99" s="54"/>
    </row>
    <row r="100" customFormat="false" ht="13.2" hidden="true" customHeight="false" outlineLevel="1" collapsed="false">
      <c r="B100" s="99"/>
      <c r="C100" s="131"/>
      <c r="D100" s="132"/>
      <c r="E100" s="133" t="s">
        <v>87</v>
      </c>
      <c r="F100" s="3" t="s">
        <v>55</v>
      </c>
      <c r="G100" s="41"/>
      <c r="H100" s="41"/>
      <c r="I100" s="207"/>
      <c r="J100" s="41"/>
      <c r="K100" s="43"/>
      <c r="L100" s="43"/>
      <c r="Q100" s="43"/>
      <c r="R100" s="47" t="n">
        <v>2</v>
      </c>
      <c r="S100" s="8"/>
      <c r="U100" s="48"/>
      <c r="V100" s="48"/>
      <c r="W100" s="26" t="str">
        <f aca="false">IF(AND(U100=1,V100=0),"Bonus","")</f>
        <v/>
      </c>
      <c r="X100" s="26"/>
      <c r="Y100" s="49" t="str">
        <f aca="false">IF(U100=1,AR100,"")</f>
        <v/>
      </c>
      <c r="Z100" s="50"/>
      <c r="AA100" s="150"/>
      <c r="AB100" s="50"/>
      <c r="AC100" s="150" t="e">
        <f aca="false">IF(Y100&lt;&gt;ByStudent!Y100,Y100-ByStudent!Y100,0)</f>
        <v>#VALUE!</v>
      </c>
      <c r="AD100" s="50"/>
      <c r="AE100" s="74"/>
      <c r="AF100" s="0" t="e">
        <f aca="false">IF(AND(AC100&lt;0,AE100=""),"TODO !","")</f>
        <v>#VALUE!</v>
      </c>
      <c r="AG100" s="53"/>
      <c r="AH100" s="2"/>
      <c r="AI100" s="48" t="n">
        <f aca="false">U100*V100*R100</f>
        <v>0</v>
      </c>
      <c r="AJ100" s="2"/>
      <c r="AK100" s="48" t="str">
        <f aca="false">IF(G100="x",AK$4,"")</f>
        <v/>
      </c>
      <c r="AL100" s="48" t="str">
        <f aca="false">IF(H100="x",AL$4,"")</f>
        <v/>
      </c>
      <c r="AM100" s="48" t="str">
        <f aca="false">IF(I100="x",AM$4,"")</f>
        <v/>
      </c>
      <c r="AN100" s="48" t="str">
        <f aca="false">IF(J100="x",AN$4,"")</f>
        <v/>
      </c>
      <c r="AO100" s="2"/>
      <c r="AP100" s="48" t="n">
        <f aca="false">COUNTIF(G100:J100,"=x")</f>
        <v>0</v>
      </c>
      <c r="AQ100" s="48" t="str">
        <f aca="false">IF(AP100&gt;0,AVERAGE(AK100:AN100),"")</f>
        <v/>
      </c>
      <c r="AR100" s="48" t="str">
        <f aca="false">IF(AND(AP100&gt;0,U100=1),AQ100*R100,"")</f>
        <v/>
      </c>
      <c r="AS100" s="2"/>
      <c r="AT100" s="48" t="n">
        <f aca="false">AI100*3</f>
        <v>0</v>
      </c>
      <c r="AV100" s="54"/>
      <c r="AW100" s="54"/>
    </row>
    <row r="101" customFormat="false" ht="13.2" hidden="false" customHeight="false" outlineLevel="0" collapsed="false">
      <c r="C101" s="34"/>
      <c r="D101" s="135"/>
      <c r="E101" s="135"/>
      <c r="F101" s="34"/>
      <c r="G101" s="63"/>
      <c r="H101" s="63"/>
      <c r="I101" s="63"/>
      <c r="J101" s="63"/>
      <c r="K101" s="35"/>
      <c r="L101" s="35"/>
      <c r="Q101" s="35"/>
      <c r="R101" s="21"/>
      <c r="S101" s="21"/>
      <c r="U101" s="2"/>
      <c r="V101" s="2"/>
      <c r="W101" s="26"/>
      <c r="X101" s="26"/>
      <c r="Y101" s="65"/>
      <c r="Z101" s="50"/>
      <c r="AA101" s="50"/>
      <c r="AB101" s="50"/>
      <c r="AC101" s="50"/>
      <c r="AE101" s="73"/>
      <c r="AF101" s="0" t="str">
        <f aca="false">IF(AND(AC101&lt;0,AE101=""),"TODO !","")</f>
        <v/>
      </c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</row>
    <row r="102" customFormat="false" ht="13.2" hidden="false" customHeight="false" outlineLevel="0" collapsed="false">
      <c r="C102" s="34"/>
      <c r="D102" s="26"/>
      <c r="E102" s="26"/>
      <c r="F102" s="34"/>
      <c r="G102" s="63"/>
      <c r="H102" s="63"/>
      <c r="I102" s="63"/>
      <c r="J102" s="63"/>
      <c r="K102" s="35"/>
      <c r="L102" s="35"/>
      <c r="Q102" s="35"/>
      <c r="R102" s="21"/>
      <c r="S102" s="21"/>
      <c r="U102" s="2"/>
      <c r="V102" s="2"/>
      <c r="W102" s="26"/>
      <c r="X102" s="26"/>
      <c r="Y102" s="65"/>
      <c r="Z102" s="50"/>
      <c r="AA102" s="50"/>
      <c r="AB102" s="50"/>
      <c r="AC102" s="50"/>
      <c r="AE102" s="73"/>
      <c r="AF102" s="0" t="str">
        <f aca="false">IF(AND(AC102&lt;0,AE102=""),"TODO !","")</f>
        <v/>
      </c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</row>
    <row r="103" customFormat="false" ht="13.2" hidden="false" customHeight="true" outlineLevel="0" collapsed="false">
      <c r="B103" s="22" t="s">
        <v>91</v>
      </c>
      <c r="C103" s="38" t="s">
        <v>92</v>
      </c>
      <c r="D103" s="39"/>
      <c r="E103" s="137" t="s">
        <v>93</v>
      </c>
      <c r="F103" s="34"/>
      <c r="G103" s="41"/>
      <c r="H103" s="41"/>
      <c r="I103" s="41"/>
      <c r="J103" s="41"/>
      <c r="K103" s="35"/>
      <c r="L103" s="35"/>
      <c r="Q103" s="35"/>
      <c r="R103" s="47" t="n">
        <v>4</v>
      </c>
      <c r="S103" s="8" t="n">
        <f aca="false">SUM(R103:R108)</f>
        <v>14</v>
      </c>
      <c r="U103" s="48" t="n">
        <v>1</v>
      </c>
      <c r="V103" s="48" t="n">
        <v>1</v>
      </c>
      <c r="W103" s="26" t="str">
        <f aca="false">IF(AND(U103=1,V103=0),"Bonus","")</f>
        <v/>
      </c>
      <c r="X103" s="26"/>
      <c r="Y103" s="49" t="str">
        <f aca="false">IF(U103=1,AR103,"")</f>
        <v/>
      </c>
      <c r="Z103" s="50"/>
      <c r="AA103" s="150"/>
      <c r="AB103" s="50"/>
      <c r="AC103" s="150" t="e">
        <f aca="false">IF(Y103&lt;&gt;ByStudent!Y103,Y103-ByStudent!Y103,0)</f>
        <v>#VALUE!</v>
      </c>
      <c r="AE103" s="74"/>
      <c r="AF103" s="0" t="e">
        <f aca="false">IF(AND(AC103&lt;0,AE103=""),"TODO !","")</f>
        <v>#VALUE!</v>
      </c>
      <c r="AG103" s="53" t="s">
        <v>95</v>
      </c>
      <c r="AH103" s="2"/>
      <c r="AI103" s="48" t="n">
        <f aca="false">U103*V103*R103</f>
        <v>4</v>
      </c>
      <c r="AJ103" s="2"/>
      <c r="AK103" s="48" t="str">
        <f aca="false">IF(G103="x",AK$4,"")</f>
        <v/>
      </c>
      <c r="AL103" s="48" t="str">
        <f aca="false">IF(H103="x",AL$4,"")</f>
        <v/>
      </c>
      <c r="AM103" s="48" t="str">
        <f aca="false">IF(I103="x",AM$4,"")</f>
        <v/>
      </c>
      <c r="AN103" s="48" t="str">
        <f aca="false">IF(J103="x",AN$4,"")</f>
        <v/>
      </c>
      <c r="AO103" s="2"/>
      <c r="AP103" s="48" t="n">
        <f aca="false">COUNTIF(G103:J103,"=x")</f>
        <v>0</v>
      </c>
      <c r="AQ103" s="48" t="str">
        <f aca="false">IF(AP103&gt;0,AVERAGE(AK103:AN103),"")</f>
        <v/>
      </c>
      <c r="AR103" s="48" t="str">
        <f aca="false">IF(AND(AP103&gt;0,U103=1),AQ103*R103,"")</f>
        <v/>
      </c>
      <c r="AS103" s="2"/>
      <c r="AT103" s="48" t="n">
        <f aca="false">AI103*3</f>
        <v>12</v>
      </c>
      <c r="AV103" s="54" t="n">
        <f aca="false">SUM(AR103:AR108)</f>
        <v>0</v>
      </c>
      <c r="AW103" s="54" t="n">
        <f aca="false">SUM(AT103:AT108)</f>
        <v>42</v>
      </c>
    </row>
    <row r="104" customFormat="false" ht="13.2" hidden="false" customHeight="false" outlineLevel="0" collapsed="false">
      <c r="B104" s="22"/>
      <c r="C104" s="82" t="s">
        <v>96</v>
      </c>
      <c r="D104" s="139"/>
      <c r="E104" s="137"/>
      <c r="F104" s="34"/>
      <c r="G104" s="41"/>
      <c r="H104" s="41"/>
      <c r="I104" s="41"/>
      <c r="J104" s="41"/>
      <c r="K104" s="35"/>
      <c r="L104" s="35"/>
      <c r="Q104" s="35"/>
      <c r="R104" s="47" t="n">
        <v>2</v>
      </c>
      <c r="S104" s="8"/>
      <c r="U104" s="48" t="n">
        <v>1</v>
      </c>
      <c r="V104" s="48" t="n">
        <v>1</v>
      </c>
      <c r="W104" s="26"/>
      <c r="X104" s="26"/>
      <c r="Y104" s="49" t="str">
        <f aca="false">IF(U104=1,AR104,"")</f>
        <v/>
      </c>
      <c r="Z104" s="50"/>
      <c r="AA104" s="150"/>
      <c r="AB104" s="50"/>
      <c r="AC104" s="150" t="n">
        <f aca="false">IF(Y104&lt;&gt;ByStudent!Y104,Y104-ByStudent!Y104,0)</f>
        <v>0</v>
      </c>
      <c r="AE104" s="74"/>
      <c r="AG104" s="53"/>
      <c r="AH104" s="2"/>
      <c r="AI104" s="48" t="n">
        <f aca="false">U104*V104*R104</f>
        <v>2</v>
      </c>
      <c r="AJ104" s="2"/>
      <c r="AK104" s="48" t="str">
        <f aca="false">IF(G104="x",AK$4,"")</f>
        <v/>
      </c>
      <c r="AL104" s="48" t="str">
        <f aca="false">IF(H104="x",AL$4,"")</f>
        <v/>
      </c>
      <c r="AM104" s="48" t="str">
        <f aca="false">IF(I104="x",AM$4,"")</f>
        <v/>
      </c>
      <c r="AN104" s="48" t="str">
        <f aca="false">IF(J104="x",AN$4,"")</f>
        <v/>
      </c>
      <c r="AO104" s="2"/>
      <c r="AP104" s="48" t="n">
        <f aca="false">COUNTIF(G104:J104,"=x")</f>
        <v>0</v>
      </c>
      <c r="AQ104" s="48" t="str">
        <f aca="false">IF(AP104&gt;0,AVERAGE(AK104:AN104),"")</f>
        <v/>
      </c>
      <c r="AR104" s="48" t="str">
        <f aca="false">IF(AND(AP104&gt;0,U104=1),AQ104*R104,"")</f>
        <v/>
      </c>
      <c r="AS104" s="2"/>
      <c r="AT104" s="48" t="n">
        <f aca="false">AI104*3</f>
        <v>6</v>
      </c>
      <c r="AV104" s="54"/>
      <c r="AW104" s="54"/>
    </row>
    <row r="105" customFormat="false" ht="12.75" hidden="false" customHeight="true" outlineLevel="0" collapsed="false">
      <c r="B105" s="22"/>
      <c r="C105" s="82" t="s">
        <v>98</v>
      </c>
      <c r="E105" s="137" t="s">
        <v>99</v>
      </c>
      <c r="F105" s="34"/>
      <c r="G105" s="41"/>
      <c r="H105" s="58"/>
      <c r="I105" s="42"/>
      <c r="J105" s="41"/>
      <c r="K105" s="35"/>
      <c r="L105" s="35"/>
      <c r="Q105" s="35"/>
      <c r="R105" s="47" t="n">
        <v>2</v>
      </c>
      <c r="S105" s="8"/>
      <c r="U105" s="48" t="n">
        <v>1</v>
      </c>
      <c r="V105" s="48" t="n">
        <v>1</v>
      </c>
      <c r="W105" s="26" t="str">
        <f aca="false">IF(AND(U105=1,V105=0),"Bonus","")</f>
        <v/>
      </c>
      <c r="X105" s="26"/>
      <c r="Y105" s="49" t="str">
        <f aca="false">IF(U105=1,AR105,"")</f>
        <v/>
      </c>
      <c r="Z105" s="50"/>
      <c r="AA105" s="150"/>
      <c r="AB105" s="50"/>
      <c r="AC105" s="150" t="e">
        <f aca="false">IF(Y105&lt;&gt;ByStudent!Y105,Y105-ByStudent!Y105,0)</f>
        <v>#VALUE!</v>
      </c>
      <c r="AE105" s="208"/>
      <c r="AF105" s="0" t="e">
        <f aca="false">IF(AND(AC105&lt;0,AE105=""),"TODO !","")</f>
        <v>#VALUE!</v>
      </c>
      <c r="AG105" s="53"/>
      <c r="AH105" s="2"/>
      <c r="AI105" s="48" t="n">
        <f aca="false">U105*V105*R105</f>
        <v>2</v>
      </c>
      <c r="AJ105" s="2"/>
      <c r="AK105" s="48" t="str">
        <f aca="false">IF(G105="x",AK$4,"")</f>
        <v/>
      </c>
      <c r="AL105" s="48" t="str">
        <f aca="false">IF(H105="x",AL$4,"")</f>
        <v/>
      </c>
      <c r="AM105" s="48" t="str">
        <f aca="false">IF(I105="x",AM$4,"")</f>
        <v/>
      </c>
      <c r="AN105" s="48" t="str">
        <f aca="false">IF(J105="x",AN$4,"")</f>
        <v/>
      </c>
      <c r="AO105" s="2"/>
      <c r="AP105" s="48" t="n">
        <f aca="false">COUNTIF(G105:J105,"=x")</f>
        <v>0</v>
      </c>
      <c r="AQ105" s="48" t="str">
        <f aca="false">IF(AP105&gt;0,AVERAGE(AK105:AN105),"")</f>
        <v/>
      </c>
      <c r="AR105" s="48" t="str">
        <f aca="false">IF(AND(AP105&gt;0,U105=1),AQ105*R105,"")</f>
        <v/>
      </c>
      <c r="AS105" s="2"/>
      <c r="AT105" s="48" t="n">
        <f aca="false">AI105*3</f>
        <v>6</v>
      </c>
      <c r="AV105" s="54"/>
      <c r="AW105" s="54"/>
    </row>
    <row r="106" customFormat="false" ht="13.2" hidden="false" customHeight="false" outlineLevel="0" collapsed="false">
      <c r="B106" s="22"/>
      <c r="C106" s="82" t="s">
        <v>100</v>
      </c>
      <c r="E106" s="137"/>
      <c r="F106" s="34"/>
      <c r="G106" s="41"/>
      <c r="H106" s="58"/>
      <c r="I106" s="42"/>
      <c r="J106" s="41"/>
      <c r="K106" s="35"/>
      <c r="L106" s="35"/>
      <c r="Q106" s="35"/>
      <c r="R106" s="47" t="n">
        <v>2</v>
      </c>
      <c r="S106" s="8"/>
      <c r="U106" s="48" t="n">
        <v>1</v>
      </c>
      <c r="V106" s="48" t="n">
        <v>1</v>
      </c>
      <c r="W106" s="26" t="str">
        <f aca="false">IF(AND(U106=1,V106=0),"Bonus","")</f>
        <v/>
      </c>
      <c r="X106" s="26"/>
      <c r="Y106" s="49" t="str">
        <f aca="false">IF(U106=1,AR106,"")</f>
        <v/>
      </c>
      <c r="Z106" s="50"/>
      <c r="AA106" s="150"/>
      <c r="AB106" s="50"/>
      <c r="AC106" s="150" t="n">
        <f aca="false">IF(Y106&lt;&gt;ByStudent!Y106,Y106-ByStudent!Y106,0)</f>
        <v>0</v>
      </c>
      <c r="AE106" s="208"/>
      <c r="AF106" s="0" t="str">
        <f aca="false">IF(AND(AC106&lt;0,AE106=""),"TODO !","")</f>
        <v/>
      </c>
      <c r="AG106" s="53"/>
      <c r="AH106" s="2"/>
      <c r="AI106" s="48" t="n">
        <f aca="false">U106*V106*R106</f>
        <v>2</v>
      </c>
      <c r="AJ106" s="2"/>
      <c r="AK106" s="48" t="str">
        <f aca="false">IF(G106="x",AK$4,"")</f>
        <v/>
      </c>
      <c r="AL106" s="48" t="str">
        <f aca="false">IF(H106="x",AL$4,"")</f>
        <v/>
      </c>
      <c r="AM106" s="48" t="str">
        <f aca="false">IF(I106="x",AM$4,"")</f>
        <v/>
      </c>
      <c r="AN106" s="48" t="str">
        <f aca="false">IF(J106="x",AN$4,"")</f>
        <v/>
      </c>
      <c r="AO106" s="2"/>
      <c r="AP106" s="48" t="n">
        <f aca="false">COUNTIF(G106:J106,"=x")</f>
        <v>0</v>
      </c>
      <c r="AQ106" s="48" t="str">
        <f aca="false">IF(AP106&gt;0,AVERAGE(AK106:AN106),"")</f>
        <v/>
      </c>
      <c r="AR106" s="48" t="str">
        <f aca="false">IF(AND(AP106&gt;0,U106=1),AQ106*R106,"")</f>
        <v/>
      </c>
      <c r="AS106" s="2"/>
      <c r="AT106" s="48" t="n">
        <f aca="false">AI106*3</f>
        <v>6</v>
      </c>
      <c r="AV106" s="54"/>
      <c r="AW106" s="54"/>
    </row>
    <row r="107" customFormat="false" ht="13.2" hidden="false" customHeight="false" outlineLevel="0" collapsed="false">
      <c r="B107" s="22"/>
      <c r="C107" s="82" t="s">
        <v>101</v>
      </c>
      <c r="D107" s="34"/>
      <c r="E107" s="137"/>
      <c r="F107" s="34"/>
      <c r="G107" s="41"/>
      <c r="H107" s="58"/>
      <c r="I107" s="42"/>
      <c r="J107" s="41"/>
      <c r="K107" s="35"/>
      <c r="L107" s="35"/>
      <c r="Q107" s="35"/>
      <c r="R107" s="47" t="n">
        <v>2</v>
      </c>
      <c r="S107" s="8"/>
      <c r="U107" s="48" t="n">
        <v>1</v>
      </c>
      <c r="V107" s="48" t="n">
        <v>1</v>
      </c>
      <c r="W107" s="26" t="str">
        <f aca="false">IF(AND(U107=1,V107=0),"Bonus","")</f>
        <v/>
      </c>
      <c r="X107" s="26"/>
      <c r="Y107" s="49" t="str">
        <f aca="false">IF(U107=1,AR107,"")</f>
        <v/>
      </c>
      <c r="Z107" s="50"/>
      <c r="AA107" s="150"/>
      <c r="AB107" s="50"/>
      <c r="AC107" s="150" t="e">
        <f aca="false">IF(Y107&lt;&gt;ByStudent!Y107,Y107-ByStudent!Y107,0)</f>
        <v>#VALUE!</v>
      </c>
      <c r="AE107" s="208"/>
      <c r="AF107" s="0" t="e">
        <f aca="false">IF(AND(AC107&lt;0,AE107=""),"TODO !","")</f>
        <v>#VALUE!</v>
      </c>
      <c r="AG107" s="53"/>
      <c r="AH107" s="2"/>
      <c r="AI107" s="48" t="n">
        <f aca="false">U107*V107*R107</f>
        <v>2</v>
      </c>
      <c r="AJ107" s="2"/>
      <c r="AK107" s="48" t="str">
        <f aca="false">IF(G107="x",AK$4,"")</f>
        <v/>
      </c>
      <c r="AL107" s="48" t="str">
        <f aca="false">IF(H107="x",AL$4,"")</f>
        <v/>
      </c>
      <c r="AM107" s="48" t="str">
        <f aca="false">IF(I107="x",AM$4,"")</f>
        <v/>
      </c>
      <c r="AN107" s="48" t="str">
        <f aca="false">IF(J107="x",AN$4,"")</f>
        <v/>
      </c>
      <c r="AO107" s="2"/>
      <c r="AP107" s="48" t="n">
        <f aca="false">COUNTIF(G107:J107,"=x")</f>
        <v>0</v>
      </c>
      <c r="AQ107" s="48" t="str">
        <f aca="false">IF(AP107&gt;0,AVERAGE(AK107:AN107),"")</f>
        <v/>
      </c>
      <c r="AR107" s="48" t="str">
        <f aca="false">IF(AND(AP107&gt;0,U107=1),AQ107*R107,"")</f>
        <v/>
      </c>
      <c r="AS107" s="2"/>
      <c r="AT107" s="48" t="n">
        <f aca="false">AI107*3</f>
        <v>6</v>
      </c>
      <c r="AV107" s="54"/>
      <c r="AW107" s="54"/>
    </row>
    <row r="108" customFormat="false" ht="13.2" hidden="false" customHeight="false" outlineLevel="0" collapsed="false">
      <c r="B108" s="22"/>
      <c r="C108" s="55" t="s">
        <v>102</v>
      </c>
      <c r="D108" s="56"/>
      <c r="E108" s="137"/>
      <c r="F108" s="34"/>
      <c r="G108" s="41"/>
      <c r="H108" s="58"/>
      <c r="I108" s="42"/>
      <c r="J108" s="41"/>
      <c r="K108" s="35"/>
      <c r="L108" s="35"/>
      <c r="Q108" s="35"/>
      <c r="R108" s="47" t="n">
        <v>2</v>
      </c>
      <c r="S108" s="8"/>
      <c r="U108" s="48" t="n">
        <v>1</v>
      </c>
      <c r="V108" s="48" t="n">
        <v>1</v>
      </c>
      <c r="W108" s="26" t="str">
        <f aca="false">IF(AND(U108=1,V108=0),"Bonus","")</f>
        <v/>
      </c>
      <c r="X108" s="26"/>
      <c r="Y108" s="49" t="str">
        <f aca="false">IF(U108=1,AR108,"")</f>
        <v/>
      </c>
      <c r="Z108" s="50"/>
      <c r="AA108" s="150"/>
      <c r="AB108" s="50"/>
      <c r="AC108" s="150" t="e">
        <f aca="false">IF(Y108&lt;&gt;ByStudent!Y108,Y108-ByStudent!Y108,0)</f>
        <v>#VALUE!</v>
      </c>
      <c r="AE108" s="208"/>
      <c r="AF108" s="0" t="e">
        <f aca="false">IF(AND(AC108&lt;0,AE108=""),"TODO !","")</f>
        <v>#VALUE!</v>
      </c>
      <c r="AG108" s="53"/>
      <c r="AH108" s="2"/>
      <c r="AI108" s="48" t="n">
        <f aca="false">U108*V108*R108</f>
        <v>2</v>
      </c>
      <c r="AJ108" s="2"/>
      <c r="AK108" s="48" t="str">
        <f aca="false">IF(G108="x",AK$4,"")</f>
        <v/>
      </c>
      <c r="AL108" s="48" t="str">
        <f aca="false">IF(H108="x",AL$4,"")</f>
        <v/>
      </c>
      <c r="AM108" s="48" t="str">
        <f aca="false">IF(I108="x",AM$4,"")</f>
        <v/>
      </c>
      <c r="AN108" s="48" t="str">
        <f aca="false">IF(J108="x",AN$4,"")</f>
        <v/>
      </c>
      <c r="AO108" s="2"/>
      <c r="AP108" s="48" t="n">
        <f aca="false">COUNTIF(G108:J108,"=x")</f>
        <v>0</v>
      </c>
      <c r="AQ108" s="48" t="str">
        <f aca="false">IF(AP108&gt;0,AVERAGE(AK108:AN108),"")</f>
        <v/>
      </c>
      <c r="AR108" s="48" t="str">
        <f aca="false">IF(AND(AP108&gt;0,U108=1),AQ108*R108,"")</f>
        <v/>
      </c>
      <c r="AS108" s="2"/>
      <c r="AT108" s="48" t="n">
        <f aca="false">AI108*3</f>
        <v>6</v>
      </c>
      <c r="AV108" s="54"/>
      <c r="AW108" s="54"/>
    </row>
    <row r="109" customFormat="false" ht="13.2" hidden="false" customHeight="false" outlineLevel="0" collapsed="false">
      <c r="C109" s="34"/>
      <c r="D109" s="26"/>
      <c r="E109" s="26"/>
      <c r="F109" s="34"/>
      <c r="G109" s="63"/>
      <c r="H109" s="63"/>
      <c r="I109" s="63"/>
      <c r="J109" s="63"/>
      <c r="K109" s="35"/>
      <c r="L109" s="35"/>
      <c r="Q109" s="35"/>
      <c r="R109" s="21"/>
      <c r="S109" s="21"/>
      <c r="U109" s="2"/>
      <c r="V109" s="2"/>
      <c r="W109" s="26"/>
      <c r="X109" s="2"/>
      <c r="Y109" s="65"/>
      <c r="AC109" s="50"/>
      <c r="AE109" s="141"/>
      <c r="AF109" s="0" t="str">
        <f aca="false">IF(AND(AC109&lt;0,AE109=""),"TODO !","")</f>
        <v/>
      </c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</row>
    <row r="110" customFormat="false" ht="13.2" hidden="false" customHeight="false" outlineLevel="0" collapsed="false">
      <c r="C110" s="34"/>
      <c r="D110" s="34"/>
      <c r="E110" s="34"/>
      <c r="F110" s="34"/>
      <c r="G110" s="63"/>
      <c r="H110" s="63"/>
      <c r="I110" s="63"/>
      <c r="J110" s="63"/>
      <c r="K110" s="35"/>
      <c r="L110" s="35"/>
      <c r="Q110" s="35"/>
      <c r="R110" s="21"/>
      <c r="S110" s="21"/>
      <c r="U110" s="2"/>
      <c r="V110" s="2"/>
      <c r="W110" s="26"/>
      <c r="X110" s="2"/>
      <c r="Y110" s="65" t="str">
        <f aca="false">IF(U110=1,AR110,"")</f>
        <v/>
      </c>
      <c r="AC110" s="50"/>
      <c r="AE110" s="141"/>
      <c r="AF110" s="0" t="str">
        <f aca="false">IF(AND(AC110&lt;0,AE110=""),"TODO !","")</f>
        <v/>
      </c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</row>
    <row r="111" customFormat="false" ht="13.2" hidden="false" customHeight="false" outlineLevel="0" collapsed="false">
      <c r="B111" s="99" t="s">
        <v>103</v>
      </c>
      <c r="C111" s="38" t="s">
        <v>104</v>
      </c>
      <c r="D111" s="39"/>
      <c r="E111" s="92"/>
      <c r="F111" s="34"/>
      <c r="G111" s="41"/>
      <c r="H111" s="142"/>
      <c r="I111" s="42"/>
      <c r="J111" s="41"/>
      <c r="K111" s="43"/>
      <c r="L111" s="43"/>
      <c r="Q111" s="43"/>
      <c r="R111" s="47" t="n">
        <v>2</v>
      </c>
      <c r="S111" s="8" t="n">
        <f aca="false">SUM(R111:R114)</f>
        <v>12</v>
      </c>
      <c r="U111" s="48" t="n">
        <v>1</v>
      </c>
      <c r="V111" s="48" t="n">
        <v>1</v>
      </c>
      <c r="W111" s="26" t="str">
        <f aca="false">IF(AND(U111=1,V111=0),"Bonus","")</f>
        <v/>
      </c>
      <c r="X111" s="2"/>
      <c r="Y111" s="49" t="str">
        <f aca="false">IF(U111=1,AR111,"")</f>
        <v/>
      </c>
      <c r="Z111" s="2"/>
      <c r="AA111" s="48"/>
      <c r="AB111" s="2"/>
      <c r="AC111" s="150" t="e">
        <f aca="false">IF(Y111&lt;&gt;ByStudent!Y111,Y111-ByStudent!Y111,0)</f>
        <v>#VALUE!</v>
      </c>
      <c r="AD111" s="2"/>
      <c r="AE111" s="208"/>
      <c r="AF111" s="0" t="e">
        <f aca="false">IF(AND(AC111&lt;0,AE111=""),"TODO !","")</f>
        <v>#VALUE!</v>
      </c>
      <c r="AG111" s="53" t="s">
        <v>106</v>
      </c>
      <c r="AH111" s="2"/>
      <c r="AI111" s="48" t="n">
        <f aca="false">U111*V111*R111</f>
        <v>2</v>
      </c>
      <c r="AJ111" s="2"/>
      <c r="AK111" s="48" t="str">
        <f aca="false">IF(G111="x",AK$4,"")</f>
        <v/>
      </c>
      <c r="AL111" s="48" t="str">
        <f aca="false">IF(H111="x",AL$4,"")</f>
        <v/>
      </c>
      <c r="AM111" s="48" t="str">
        <f aca="false">IF(I111="x",AM$4,"")</f>
        <v/>
      </c>
      <c r="AN111" s="48" t="str">
        <f aca="false">IF(J111="x",AN$4,"")</f>
        <v/>
      </c>
      <c r="AO111" s="2"/>
      <c r="AP111" s="48" t="n">
        <f aca="false">COUNTIF(G111:J111,"=x")</f>
        <v>0</v>
      </c>
      <c r="AQ111" s="48" t="str">
        <f aca="false">IF(AP111&gt;0,AVERAGE(AK111:AN111),"")</f>
        <v/>
      </c>
      <c r="AR111" s="48" t="str">
        <f aca="false">IF(AND(AP111&gt;0,U111=1),AQ111*R111,"")</f>
        <v/>
      </c>
      <c r="AS111" s="2"/>
      <c r="AT111" s="48" t="n">
        <f aca="false">AI111*3</f>
        <v>6</v>
      </c>
      <c r="AV111" s="54" t="n">
        <f aca="false">SUM(AR111:AR114)</f>
        <v>0</v>
      </c>
      <c r="AW111" s="54" t="n">
        <f aca="false">SUM(AT111:AT114)</f>
        <v>36</v>
      </c>
    </row>
    <row r="112" customFormat="false" ht="13.2" hidden="false" customHeight="false" outlineLevel="0" collapsed="false">
      <c r="B112" s="99"/>
      <c r="C112" s="82" t="s">
        <v>107</v>
      </c>
      <c r="D112" s="34"/>
      <c r="E112" s="93"/>
      <c r="F112" s="34"/>
      <c r="G112" s="41"/>
      <c r="H112" s="142"/>
      <c r="I112" s="42"/>
      <c r="J112" s="41"/>
      <c r="K112" s="43"/>
      <c r="L112" s="43"/>
      <c r="M112" s="43"/>
      <c r="N112" s="43"/>
      <c r="O112" s="43"/>
      <c r="P112" s="43"/>
      <c r="Q112" s="43"/>
      <c r="R112" s="47" t="n">
        <v>5</v>
      </c>
      <c r="S112" s="8"/>
      <c r="U112" s="48" t="n">
        <v>1</v>
      </c>
      <c r="V112" s="48" t="n">
        <v>1</v>
      </c>
      <c r="W112" s="26" t="str">
        <f aca="false">IF(AND(U112=1,V112=0),"Bonus","")</f>
        <v/>
      </c>
      <c r="X112" s="2"/>
      <c r="Y112" s="49" t="str">
        <f aca="false">IF(U112=1,AR112,"")</f>
        <v/>
      </c>
      <c r="Z112" s="2"/>
      <c r="AA112" s="48"/>
      <c r="AB112" s="2"/>
      <c r="AC112" s="150" t="e">
        <f aca="false">IF(Y112&lt;&gt;ByStudent!Y112,Y112-ByStudent!Y112,0)</f>
        <v>#VALUE!</v>
      </c>
      <c r="AD112" s="2"/>
      <c r="AE112" s="208"/>
      <c r="AF112" s="0" t="e">
        <f aca="false">IF(AND(AC112&lt;0,AE112=""),"TODO !","")</f>
        <v>#VALUE!</v>
      </c>
      <c r="AG112" s="53"/>
      <c r="AH112" s="2"/>
      <c r="AI112" s="48" t="n">
        <f aca="false">U112*V112*R112</f>
        <v>5</v>
      </c>
      <c r="AJ112" s="2"/>
      <c r="AK112" s="48" t="str">
        <f aca="false">IF(G112="x",AK$4,"")</f>
        <v/>
      </c>
      <c r="AL112" s="48" t="str">
        <f aca="false">IF(H112="x",AL$4,"")</f>
        <v/>
      </c>
      <c r="AM112" s="48" t="str">
        <f aca="false">IF(I112="x",AM$4,"")</f>
        <v/>
      </c>
      <c r="AN112" s="48" t="str">
        <f aca="false">IF(J112="x",AN$4,"")</f>
        <v/>
      </c>
      <c r="AO112" s="2"/>
      <c r="AP112" s="48" t="n">
        <f aca="false">COUNTIF(G112:J112,"=x")</f>
        <v>0</v>
      </c>
      <c r="AQ112" s="48" t="str">
        <f aca="false">IF(AP112&gt;0,AVERAGE(AK112:AN112),"")</f>
        <v/>
      </c>
      <c r="AR112" s="48" t="str">
        <f aca="false">IF(AND(AP112&gt;0,U112=1),AQ112*R112,"")</f>
        <v/>
      </c>
      <c r="AS112" s="2"/>
      <c r="AT112" s="48" t="n">
        <f aca="false">AI112*3</f>
        <v>15</v>
      </c>
      <c r="AV112" s="54"/>
      <c r="AW112" s="54"/>
    </row>
    <row r="113" customFormat="false" ht="13.2" hidden="false" customHeight="false" outlineLevel="0" collapsed="false">
      <c r="B113" s="99"/>
      <c r="C113" s="82" t="s">
        <v>108</v>
      </c>
      <c r="D113" s="34"/>
      <c r="E113" s="93"/>
      <c r="F113" s="34"/>
      <c r="G113" s="41"/>
      <c r="H113" s="142"/>
      <c r="I113" s="42"/>
      <c r="J113" s="41"/>
      <c r="K113" s="43"/>
      <c r="L113" s="43"/>
      <c r="M113" s="43"/>
      <c r="N113" s="43"/>
      <c r="O113" s="43"/>
      <c r="P113" s="43"/>
      <c r="Q113" s="43"/>
      <c r="R113" s="47" t="n">
        <v>3</v>
      </c>
      <c r="S113" s="8"/>
      <c r="U113" s="48" t="n">
        <v>1</v>
      </c>
      <c r="V113" s="48" t="n">
        <v>1</v>
      </c>
      <c r="W113" s="26" t="str">
        <f aca="false">IF(AND(U113=1,V113=0),"Bonus","")</f>
        <v/>
      </c>
      <c r="X113" s="2"/>
      <c r="Y113" s="49" t="str">
        <f aca="false">IF(U113=1,AR113,"")</f>
        <v/>
      </c>
      <c r="Z113" s="2"/>
      <c r="AA113" s="48"/>
      <c r="AB113" s="2"/>
      <c r="AC113" s="150" t="e">
        <f aca="false">IF(Y113&lt;&gt;ByStudent!Y113,Y113-ByStudent!Y113,0)</f>
        <v>#VALUE!</v>
      </c>
      <c r="AD113" s="2"/>
      <c r="AE113" s="208"/>
      <c r="AF113" s="0" t="e">
        <f aca="false">IF(AND(AC113&lt;0,AE113=""),"TODO !","")</f>
        <v>#VALUE!</v>
      </c>
      <c r="AG113" s="53"/>
      <c r="AH113" s="2"/>
      <c r="AI113" s="48" t="n">
        <f aca="false">U113*V113*R113</f>
        <v>3</v>
      </c>
      <c r="AJ113" s="2"/>
      <c r="AK113" s="48" t="str">
        <f aca="false">IF(G113="x",AK$4,"")</f>
        <v/>
      </c>
      <c r="AL113" s="48" t="str">
        <f aca="false">IF(H113="x",AL$4,"")</f>
        <v/>
      </c>
      <c r="AM113" s="48" t="str">
        <f aca="false">IF(I113="x",AM$4,"")</f>
        <v/>
      </c>
      <c r="AN113" s="48" t="str">
        <f aca="false">IF(J113="x",AN$4,"")</f>
        <v/>
      </c>
      <c r="AO113" s="2"/>
      <c r="AP113" s="48" t="n">
        <f aca="false">COUNTIF(G113:J113,"=x")</f>
        <v>0</v>
      </c>
      <c r="AQ113" s="48" t="str">
        <f aca="false">IF(AP113&gt;0,AVERAGE(AK113:AN113),"")</f>
        <v/>
      </c>
      <c r="AR113" s="48" t="str">
        <f aca="false">IF(AND(AP113&gt;0,U113=1),AQ113*R113,"")</f>
        <v/>
      </c>
      <c r="AS113" s="2"/>
      <c r="AT113" s="48" t="n">
        <f aca="false">AI113*3</f>
        <v>9</v>
      </c>
      <c r="AV113" s="54"/>
      <c r="AW113" s="54"/>
    </row>
    <row r="114" customFormat="false" ht="13.2" hidden="false" customHeight="false" outlineLevel="0" collapsed="false">
      <c r="B114" s="99"/>
      <c r="C114" s="55" t="s">
        <v>109</v>
      </c>
      <c r="D114" s="56"/>
      <c r="E114" s="97"/>
      <c r="F114" s="34"/>
      <c r="G114" s="143"/>
      <c r="H114" s="144"/>
      <c r="I114" s="143"/>
      <c r="J114" s="143"/>
      <c r="K114" s="32"/>
      <c r="L114" s="32"/>
      <c r="M114" s="32"/>
      <c r="N114" s="32"/>
      <c r="O114" s="32"/>
      <c r="P114" s="32"/>
      <c r="R114" s="47" t="n">
        <v>2</v>
      </c>
      <c r="S114" s="8"/>
      <c r="U114" s="48" t="n">
        <v>1</v>
      </c>
      <c r="V114" s="48" t="n">
        <v>1</v>
      </c>
      <c r="W114" s="26" t="str">
        <f aca="false">IF(AND(U114=1,V114=0),"Bonus","")</f>
        <v/>
      </c>
      <c r="Y114" s="49" t="str">
        <f aca="false">IF(U114=1,AR114,"")</f>
        <v/>
      </c>
      <c r="Z114" s="2"/>
      <c r="AA114" s="48"/>
      <c r="AB114" s="2"/>
      <c r="AC114" s="150" t="e">
        <f aca="false">IF(Y114&lt;&gt;ByStudent!Y114,Y114-ByStudent!Y114,0)</f>
        <v>#VALUE!</v>
      </c>
      <c r="AE114" s="208"/>
      <c r="AF114" s="0" t="e">
        <f aca="false">IF(AND(AC114&lt;0,AE114=""),"TODO !","")</f>
        <v>#VALUE!</v>
      </c>
      <c r="AG114" s="53"/>
      <c r="AI114" s="48" t="n">
        <f aca="false">U114*V114*R114</f>
        <v>2</v>
      </c>
      <c r="AJ114" s="2"/>
      <c r="AK114" s="48" t="str">
        <f aca="false">IF(G114="x",AK$4,"")</f>
        <v/>
      </c>
      <c r="AL114" s="48" t="str">
        <f aca="false">IF(H114="x",AL$4,"")</f>
        <v/>
      </c>
      <c r="AM114" s="48" t="str">
        <f aca="false">IF(I114="x",AM$4,"")</f>
        <v/>
      </c>
      <c r="AN114" s="48" t="str">
        <f aca="false">IF(J114="x",AN$4,"")</f>
        <v/>
      </c>
      <c r="AO114" s="2"/>
      <c r="AP114" s="48" t="n">
        <f aca="false">COUNTIF(G114:J114,"=x")</f>
        <v>0</v>
      </c>
      <c r="AQ114" s="48" t="str">
        <f aca="false">IF(AP114&gt;0,AVERAGE(AK114:AN114),"")</f>
        <v/>
      </c>
      <c r="AR114" s="48" t="str">
        <f aca="false">IF(AND(AP114&gt;0,U114=1),AQ114*R114,"")</f>
        <v/>
      </c>
      <c r="AS114" s="2"/>
      <c r="AT114" s="48" t="n">
        <f aca="false">AI114*3</f>
        <v>6</v>
      </c>
      <c r="AV114" s="54"/>
      <c r="AW114" s="54"/>
    </row>
    <row r="115" customFormat="false" ht="13.2" hidden="false" customHeight="false" outlineLevel="0" collapsed="false">
      <c r="C115" s="34"/>
      <c r="D115" s="34"/>
      <c r="E115" s="34"/>
      <c r="F115" s="34"/>
      <c r="V115" s="2"/>
      <c r="W115" s="26"/>
      <c r="X115" s="2"/>
      <c r="Y115" s="65"/>
      <c r="AC115" s="50"/>
      <c r="AF115" s="0" t="str">
        <f aca="false">IF(AND(AC115&lt;0,AE115=""),"TODO !","")</f>
        <v/>
      </c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</row>
    <row r="116" customFormat="false" ht="12.75" hidden="false" customHeight="true" outlineLevel="0" collapsed="false">
      <c r="B116" s="3" t="s">
        <v>110</v>
      </c>
      <c r="C116" s="3"/>
      <c r="D116" s="3"/>
      <c r="E116" s="3"/>
      <c r="R116" s="145"/>
      <c r="S116" s="145"/>
      <c r="T116" s="2"/>
      <c r="U116" s="2"/>
      <c r="V116" s="2"/>
      <c r="W116" s="26"/>
      <c r="X116" s="2"/>
      <c r="Y116" s="65"/>
      <c r="AB116" s="2"/>
      <c r="AC116" s="50"/>
      <c r="AD116" s="2"/>
      <c r="AE116" s="2"/>
      <c r="AH116" s="145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</row>
    <row r="117" customFormat="false" ht="12.75" hidden="false" customHeight="true" outlineLevel="0" collapsed="false">
      <c r="B117" s="107" t="s">
        <v>111</v>
      </c>
      <c r="C117" s="146"/>
      <c r="D117" s="147"/>
      <c r="E117" s="148" t="s">
        <v>112</v>
      </c>
      <c r="G117" s="209" t="str">
        <f aca="false">IF(ByStudent!G117&lt;&gt;"",ByStudent!G117,"")</f>
        <v>Nvidia Geforce RTX 20180 Ti</v>
      </c>
      <c r="H117" s="209"/>
      <c r="I117" s="209"/>
      <c r="J117" s="209"/>
      <c r="K117" s="2" t="str">
        <f aca="false">IF(G117&lt;&gt;"","","TODO!")</f>
        <v/>
      </c>
      <c r="R117" s="48" t="n">
        <v>0.5</v>
      </c>
      <c r="S117" s="54" t="n">
        <f aca="false">SUM(R117:R124)</f>
        <v>4</v>
      </c>
      <c r="T117" s="2"/>
      <c r="U117" s="48" t="n">
        <v>1</v>
      </c>
      <c r="V117" s="48" t="n">
        <v>1</v>
      </c>
      <c r="W117" s="26" t="str">
        <f aca="false">IF(AND(U117=1,V117=0),"Bonus","")</f>
        <v/>
      </c>
      <c r="X117" s="2"/>
      <c r="Y117" s="150" t="n">
        <f aca="false">AR117</f>
        <v>0</v>
      </c>
      <c r="Z117" s="2"/>
      <c r="AA117" s="48"/>
      <c r="AB117" s="2"/>
      <c r="AC117" s="150" t="n">
        <f aca="false">IF(Y117&lt;&gt;ByStudent!Y117,Y117-ByStudent!Y117,0)</f>
        <v>0</v>
      </c>
      <c r="AD117" s="2"/>
      <c r="AE117" s="2"/>
      <c r="AG117" s="151" t="s">
        <v>114</v>
      </c>
      <c r="AH117" s="2"/>
      <c r="AI117" s="48" t="n">
        <f aca="false">U117*V117*R117</f>
        <v>0.5</v>
      </c>
      <c r="AJ117" s="2"/>
      <c r="AK117" s="152" t="s">
        <v>162</v>
      </c>
      <c r="AL117" s="152"/>
      <c r="AM117" s="152"/>
      <c r="AN117" s="152"/>
      <c r="AO117" s="2"/>
      <c r="AQ117" s="153" t="n">
        <f aca="false">ISNUMBER(SEARCH(         UPPER(AK117), UPPER(G117)        ))</f>
        <v>0</v>
      </c>
      <c r="AR117" s="48" t="n">
        <f aca="false">AI117*AQ117</f>
        <v>0</v>
      </c>
      <c r="AS117" s="2"/>
      <c r="AT117" s="48" t="n">
        <f aca="false">AI117</f>
        <v>0.5</v>
      </c>
      <c r="AV117" s="54" t="n">
        <f aca="false">SUM(AR117:AR124)</f>
        <v>3</v>
      </c>
      <c r="AW117" s="54" t="n">
        <f aca="false">SUM(AT117:AT124)</f>
        <v>4</v>
      </c>
    </row>
    <row r="118" customFormat="false" ht="13.2" hidden="false" customHeight="false" outlineLevel="0" collapsed="false">
      <c r="B118" s="107"/>
      <c r="C118" s="95"/>
      <c r="D118" s="5"/>
      <c r="E118" s="154" t="s">
        <v>115</v>
      </c>
      <c r="G118" s="210" t="n">
        <f aca="false">IF(ByStudent!G118&lt;&gt;"",ByStudent!G118,"")</f>
        <v>75</v>
      </c>
      <c r="H118" s="210"/>
      <c r="I118" s="210"/>
      <c r="J118" s="210"/>
      <c r="K118" s="2" t="str">
        <f aca="false">IF(G118&lt;&gt;"","","TODO!")</f>
        <v/>
      </c>
      <c r="R118" s="48" t="n">
        <v>0.5</v>
      </c>
      <c r="S118" s="54"/>
      <c r="T118" s="2"/>
      <c r="U118" s="48" t="n">
        <v>1</v>
      </c>
      <c r="V118" s="48" t="n">
        <v>1</v>
      </c>
      <c r="W118" s="26" t="str">
        <f aca="false">IF(AND(U118=1,V118=0),"Bonus","")</f>
        <v/>
      </c>
      <c r="X118" s="2"/>
      <c r="Y118" s="150" t="n">
        <f aca="false">AR118</f>
        <v>0.5</v>
      </c>
      <c r="Z118" s="2"/>
      <c r="AA118" s="48"/>
      <c r="AB118" s="2"/>
      <c r="AC118" s="150" t="n">
        <f aca="false">IF(Y118&lt;&gt;ByStudent!Y118,Y118-ByStudent!Y118,0)</f>
        <v>0</v>
      </c>
      <c r="AD118" s="2"/>
      <c r="AE118" s="2"/>
      <c r="AG118" s="151"/>
      <c r="AH118" s="2"/>
      <c r="AI118" s="48" t="n">
        <f aca="false">U118*V118*R118</f>
        <v>0.5</v>
      </c>
      <c r="AJ118" s="2"/>
      <c r="AK118" s="152" t="n">
        <v>75</v>
      </c>
      <c r="AL118" s="152"/>
      <c r="AM118" s="152"/>
      <c r="AN118" s="152"/>
      <c r="AO118" s="2"/>
      <c r="AQ118" s="153" t="n">
        <f aca="false">IF(AK118=G118,1,0)</f>
        <v>1</v>
      </c>
      <c r="AR118" s="48" t="n">
        <f aca="false">AI118*AQ118</f>
        <v>0.5</v>
      </c>
      <c r="AS118" s="2"/>
      <c r="AT118" s="48" t="n">
        <f aca="false">AI118</f>
        <v>0.5</v>
      </c>
      <c r="AV118" s="54"/>
      <c r="AW118" s="54"/>
    </row>
    <row r="119" customFormat="false" ht="13.2" hidden="false" customHeight="false" outlineLevel="0" collapsed="false">
      <c r="B119" s="107"/>
      <c r="C119" s="95"/>
      <c r="E119" s="154" t="s">
        <v>116</v>
      </c>
      <c r="G119" s="210" t="n">
        <f aca="false">IF(ByStudent!G119&lt;&gt;"",ByStudent!G119,"")</f>
        <v>4352</v>
      </c>
      <c r="H119" s="210"/>
      <c r="I119" s="210"/>
      <c r="J119" s="210"/>
      <c r="K119" s="2" t="str">
        <f aca="false">IF(G119&lt;&gt;"","","TODO!")</f>
        <v/>
      </c>
      <c r="R119" s="48" t="n">
        <v>0.5</v>
      </c>
      <c r="S119" s="54"/>
      <c r="T119" s="2"/>
      <c r="U119" s="48" t="n">
        <v>1</v>
      </c>
      <c r="V119" s="48" t="n">
        <v>1</v>
      </c>
      <c r="W119" s="26" t="str">
        <f aca="false">IF(AND(U119=1,V119=0),"Bonus","")</f>
        <v/>
      </c>
      <c r="X119" s="2"/>
      <c r="Y119" s="150" t="n">
        <f aca="false">AR119</f>
        <v>0</v>
      </c>
      <c r="Z119" s="2"/>
      <c r="AA119" s="48"/>
      <c r="AB119" s="2"/>
      <c r="AC119" s="150" t="n">
        <f aca="false">IF(Y119&lt;&gt;ByStudent!Y119,Y119-ByStudent!Y119,0)</f>
        <v>0</v>
      </c>
      <c r="AD119" s="2"/>
      <c r="AE119" s="2"/>
      <c r="AG119" s="151"/>
      <c r="AH119" s="2"/>
      <c r="AI119" s="48" t="n">
        <f aca="false">U119*V119*R119</f>
        <v>0.5</v>
      </c>
      <c r="AJ119" s="2"/>
      <c r="AK119" s="152" t="n">
        <v>3</v>
      </c>
      <c r="AL119" s="152"/>
      <c r="AM119" s="152"/>
      <c r="AN119" s="152"/>
      <c r="AO119" s="2"/>
      <c r="AQ119" s="153" t="n">
        <f aca="false">IF(AK119=G119,1,0)</f>
        <v>0</v>
      </c>
      <c r="AR119" s="48" t="n">
        <f aca="false">AI119*AQ119</f>
        <v>0</v>
      </c>
      <c r="AS119" s="2"/>
      <c r="AT119" s="48" t="n">
        <f aca="false">AI119</f>
        <v>0.5</v>
      </c>
      <c r="AV119" s="54"/>
      <c r="AW119" s="54"/>
    </row>
    <row r="120" customFormat="false" ht="13.2" hidden="false" customHeight="false" outlineLevel="0" collapsed="false">
      <c r="B120" s="107"/>
      <c r="C120" s="95"/>
      <c r="E120" s="155" t="s">
        <v>117</v>
      </c>
      <c r="G120" s="210" t="n">
        <f aca="false">IF(ByStudent!G120&lt;&gt;"",ByStudent!G120,"")</f>
        <v>68</v>
      </c>
      <c r="H120" s="210"/>
      <c r="I120" s="210"/>
      <c r="J120" s="210"/>
      <c r="K120" s="2" t="str">
        <f aca="false">IF(G120&lt;&gt;"","","TODO!")</f>
        <v/>
      </c>
      <c r="R120" s="48" t="n">
        <v>0.5</v>
      </c>
      <c r="S120" s="54"/>
      <c r="U120" s="48" t="n">
        <v>1</v>
      </c>
      <c r="V120" s="48" t="n">
        <v>1</v>
      </c>
      <c r="W120" s="26" t="str">
        <f aca="false">IF(AND(U120=1,V120=0),"Bonus","")</f>
        <v/>
      </c>
      <c r="Y120" s="150" t="n">
        <f aca="false">AR120</f>
        <v>0.5</v>
      </c>
      <c r="AA120" s="48"/>
      <c r="AC120" s="150" t="n">
        <f aca="false">IF(Y120&lt;&gt;ByStudent!Y120,Y120-ByStudent!Y120,0)</f>
        <v>0</v>
      </c>
      <c r="AG120" s="151"/>
      <c r="AI120" s="48" t="n">
        <f aca="false">U120*V120*R120</f>
        <v>0.5</v>
      </c>
      <c r="AJ120" s="2"/>
      <c r="AK120" s="152" t="n">
        <v>68</v>
      </c>
      <c r="AL120" s="152"/>
      <c r="AM120" s="152"/>
      <c r="AN120" s="152"/>
      <c r="AO120" s="2"/>
      <c r="AQ120" s="153" t="n">
        <f aca="false">IF(AK120=G120,1,0)</f>
        <v>1</v>
      </c>
      <c r="AR120" s="48" t="n">
        <f aca="false">AI120*AQ120</f>
        <v>0.5</v>
      </c>
      <c r="AS120" s="2"/>
      <c r="AT120" s="48" t="n">
        <f aca="false">AI120</f>
        <v>0.5</v>
      </c>
      <c r="AV120" s="54"/>
      <c r="AW120" s="54"/>
    </row>
    <row r="121" customFormat="false" ht="13.2" hidden="false" customHeight="false" outlineLevel="0" collapsed="false">
      <c r="B121" s="107"/>
      <c r="C121" s="95"/>
      <c r="D121" s="34"/>
      <c r="E121" s="154" t="s">
        <v>118</v>
      </c>
      <c r="G121" s="210" t="n">
        <f aca="false">IF(ByStudent!G121&lt;&gt;"",ByStudent!G121,"")</f>
        <v>64</v>
      </c>
      <c r="H121" s="210"/>
      <c r="I121" s="210"/>
      <c r="J121" s="210"/>
      <c r="K121" s="2" t="str">
        <f aca="false">IF(G121&lt;&gt;"","","TODO!")</f>
        <v/>
      </c>
      <c r="R121" s="48" t="n">
        <v>0.5</v>
      </c>
      <c r="S121" s="54"/>
      <c r="U121" s="48" t="n">
        <v>1</v>
      </c>
      <c r="V121" s="48" t="n">
        <v>1</v>
      </c>
      <c r="W121" s="26" t="str">
        <f aca="false">IF(AND(U121=1,V121=0),"Bonus","")</f>
        <v/>
      </c>
      <c r="Y121" s="150" t="n">
        <f aca="false">AR121</f>
        <v>0.5</v>
      </c>
      <c r="AA121" s="48"/>
      <c r="AC121" s="150" t="n">
        <f aca="false">IF(Y121&lt;&gt;ByStudent!Y121,Y121-ByStudent!Y121,0)</f>
        <v>0</v>
      </c>
      <c r="AG121" s="151"/>
      <c r="AI121" s="48" t="n">
        <f aca="false">U121*V121*R121</f>
        <v>0.5</v>
      </c>
      <c r="AJ121" s="2"/>
      <c r="AK121" s="152" t="n">
        <v>64</v>
      </c>
      <c r="AL121" s="152"/>
      <c r="AM121" s="152"/>
      <c r="AN121" s="152"/>
      <c r="AO121" s="2"/>
      <c r="AQ121" s="153" t="n">
        <f aca="false">IF(AK121=G121,1,0)</f>
        <v>1</v>
      </c>
      <c r="AR121" s="48" t="n">
        <f aca="false">AI121*AQ121</f>
        <v>0.5</v>
      </c>
      <c r="AS121" s="2"/>
      <c r="AT121" s="48" t="n">
        <f aca="false">AI121</f>
        <v>0.5</v>
      </c>
      <c r="AV121" s="54"/>
      <c r="AW121" s="54"/>
    </row>
    <row r="122" customFormat="false" ht="13.2" hidden="false" customHeight="false" outlineLevel="0" collapsed="false">
      <c r="B122" s="107"/>
      <c r="C122" s="95"/>
      <c r="D122" s="34"/>
      <c r="E122" s="154" t="s">
        <v>119</v>
      </c>
      <c r="G122" s="210" t="n">
        <f aca="false">IF(ByStudent!G122&lt;&gt;"",ByStudent!G122,"")</f>
        <v>11</v>
      </c>
      <c r="H122" s="210"/>
      <c r="I122" s="210"/>
      <c r="J122" s="210"/>
      <c r="K122" s="2" t="str">
        <f aca="false">IF(G122&lt;&gt;"","","TODO!")</f>
        <v/>
      </c>
      <c r="L122" s="156"/>
      <c r="M122" s="156"/>
      <c r="N122" s="156"/>
      <c r="O122" s="157"/>
      <c r="P122" s="157"/>
      <c r="R122" s="48" t="n">
        <v>0.5</v>
      </c>
      <c r="S122" s="54"/>
      <c r="U122" s="48" t="n">
        <v>1</v>
      </c>
      <c r="V122" s="48" t="n">
        <v>1</v>
      </c>
      <c r="W122" s="26" t="str">
        <f aca="false">IF(AND(U122=1,V122=0),"Bonus","")</f>
        <v/>
      </c>
      <c r="Y122" s="150" t="n">
        <f aca="false">AR122</f>
        <v>0.5</v>
      </c>
      <c r="AA122" s="48"/>
      <c r="AC122" s="150" t="n">
        <f aca="false">IF(Y122&lt;&gt;ByStudent!Y122,Y122-ByStudent!Y122,0)</f>
        <v>0</v>
      </c>
      <c r="AE122" s="5"/>
      <c r="AG122" s="151"/>
      <c r="AI122" s="48" t="n">
        <f aca="false">U122*V122*R122</f>
        <v>0.5</v>
      </c>
      <c r="AJ122" s="2"/>
      <c r="AK122" s="152" t="n">
        <v>11</v>
      </c>
      <c r="AL122" s="152"/>
      <c r="AM122" s="152"/>
      <c r="AN122" s="152"/>
      <c r="AO122" s="2"/>
      <c r="AQ122" s="153" t="n">
        <f aca="false">IF(AK122=G122,1,0)</f>
        <v>1</v>
      </c>
      <c r="AR122" s="48" t="n">
        <f aca="false">AI122*AQ122</f>
        <v>0.5</v>
      </c>
      <c r="AS122" s="2"/>
      <c r="AT122" s="48" t="n">
        <f aca="false">AI122</f>
        <v>0.5</v>
      </c>
      <c r="AV122" s="54"/>
      <c r="AW122" s="54"/>
    </row>
    <row r="123" customFormat="false" ht="13.2" hidden="false" customHeight="false" outlineLevel="0" collapsed="false">
      <c r="B123" s="107"/>
      <c r="C123" s="95"/>
      <c r="E123" s="154" t="s">
        <v>120</v>
      </c>
      <c r="G123" s="210" t="n">
        <f aca="false">IF(ByStudent!G123&lt;&gt;"",ByStudent!G123,"")</f>
        <v>48</v>
      </c>
      <c r="H123" s="210"/>
      <c r="I123" s="210"/>
      <c r="J123" s="210"/>
      <c r="K123" s="2" t="str">
        <f aca="false">IF(G123&lt;&gt;"","","TODO!")</f>
        <v/>
      </c>
      <c r="L123" s="156"/>
      <c r="M123" s="156"/>
      <c r="N123" s="156"/>
      <c r="O123" s="157"/>
      <c r="P123" s="157"/>
      <c r="R123" s="48" t="n">
        <v>0.5</v>
      </c>
      <c r="S123" s="54"/>
      <c r="U123" s="48" t="n">
        <v>1</v>
      </c>
      <c r="V123" s="48" t="n">
        <v>1</v>
      </c>
      <c r="W123" s="26" t="str">
        <f aca="false">IF(AND(U123=1,V123=0),"Bonus","")</f>
        <v/>
      </c>
      <c r="Y123" s="150" t="n">
        <f aca="false">AR123</f>
        <v>0.5</v>
      </c>
      <c r="AA123" s="48"/>
      <c r="AC123" s="150" t="n">
        <f aca="false">IF(Y123&lt;&gt;ByStudent!Y123,Y123-ByStudent!Y123,0)</f>
        <v>0</v>
      </c>
      <c r="AG123" s="151"/>
      <c r="AI123" s="48" t="n">
        <f aca="false">U123*V123*R123</f>
        <v>0.5</v>
      </c>
      <c r="AJ123" s="2"/>
      <c r="AK123" s="152" t="n">
        <v>48</v>
      </c>
      <c r="AL123" s="152"/>
      <c r="AM123" s="152"/>
      <c r="AN123" s="152"/>
      <c r="AO123" s="2"/>
      <c r="AQ123" s="153" t="n">
        <f aca="false">IF(AK123=G123,1,0)</f>
        <v>1</v>
      </c>
      <c r="AR123" s="48" t="n">
        <f aca="false">AI123*AQ123</f>
        <v>0.5</v>
      </c>
      <c r="AS123" s="2"/>
      <c r="AT123" s="48" t="n">
        <f aca="false">AI123</f>
        <v>0.5</v>
      </c>
      <c r="AV123" s="54"/>
      <c r="AW123" s="54"/>
    </row>
    <row r="124" customFormat="false" ht="13.2" hidden="false" customHeight="false" outlineLevel="0" collapsed="false">
      <c r="B124" s="107"/>
      <c r="C124" s="131"/>
      <c r="D124" s="132"/>
      <c r="E124" s="158" t="s">
        <v>121</v>
      </c>
      <c r="G124" s="211" t="n">
        <f aca="false">IF(ByStudent!G124&lt;&gt;"",ByStudent!G124,"")</f>
        <v>64</v>
      </c>
      <c r="H124" s="211"/>
      <c r="I124" s="211"/>
      <c r="J124" s="211"/>
      <c r="K124" s="2" t="str">
        <f aca="false">IF(G124&lt;&gt;"","","TODO!")</f>
        <v/>
      </c>
      <c r="L124" s="3"/>
      <c r="M124" s="26"/>
      <c r="N124" s="26"/>
      <c r="O124" s="26"/>
      <c r="P124" s="26"/>
      <c r="R124" s="48" t="n">
        <v>0.5</v>
      </c>
      <c r="S124" s="54"/>
      <c r="U124" s="48" t="n">
        <v>1</v>
      </c>
      <c r="V124" s="48" t="n">
        <v>1</v>
      </c>
      <c r="W124" s="26" t="str">
        <f aca="false">IF(AND(U124=1,V124=0),"Bonus","")</f>
        <v/>
      </c>
      <c r="Y124" s="150" t="n">
        <f aca="false">AR124</f>
        <v>0.5</v>
      </c>
      <c r="AA124" s="48"/>
      <c r="AC124" s="150" t="n">
        <f aca="false">IF(Y124&lt;&gt;ByStudent!Y124,Y124-ByStudent!Y124,0)</f>
        <v>0</v>
      </c>
      <c r="AG124" s="151"/>
      <c r="AI124" s="48" t="n">
        <f aca="false">U124*V124*R124</f>
        <v>0.5</v>
      </c>
      <c r="AJ124" s="2"/>
      <c r="AK124" s="152" t="n">
        <v>64</v>
      </c>
      <c r="AL124" s="152"/>
      <c r="AM124" s="152"/>
      <c r="AN124" s="152"/>
      <c r="AO124" s="2"/>
      <c r="AQ124" s="153" t="n">
        <f aca="false">IF(AK124=G124,1,0)</f>
        <v>1</v>
      </c>
      <c r="AR124" s="48" t="n">
        <f aca="false">AI124*AQ124</f>
        <v>0.5</v>
      </c>
      <c r="AS124" s="2"/>
      <c r="AT124" s="48" t="n">
        <f aca="false">AI124</f>
        <v>0.5</v>
      </c>
      <c r="AU124" s="5"/>
      <c r="AV124" s="54"/>
      <c r="AW124" s="54"/>
    </row>
    <row r="125" customFormat="false" ht="13.2" hidden="false" customHeight="false" outlineLevel="0" collapsed="false">
      <c r="B125" s="3" t="s">
        <v>122</v>
      </c>
      <c r="E125" s="159"/>
      <c r="G125" s="32"/>
      <c r="H125" s="2"/>
      <c r="I125" s="2"/>
      <c r="J125" s="2"/>
      <c r="K125" s="2"/>
      <c r="L125" s="3"/>
      <c r="M125" s="26"/>
      <c r="N125" s="26"/>
      <c r="O125" s="26"/>
      <c r="P125" s="26"/>
      <c r="R125" s="2"/>
      <c r="S125" s="157"/>
      <c r="U125" s="2"/>
      <c r="V125" s="2"/>
      <c r="W125" s="26"/>
      <c r="Y125" s="50"/>
      <c r="AG125" s="160"/>
      <c r="AI125" s="2"/>
      <c r="AJ125" s="2"/>
      <c r="AK125" s="32"/>
      <c r="AL125" s="2"/>
      <c r="AM125" s="2"/>
      <c r="AN125" s="2"/>
      <c r="AO125" s="2"/>
      <c r="AQ125" s="2"/>
      <c r="AR125" s="2"/>
      <c r="AS125" s="2"/>
      <c r="AT125" s="2"/>
      <c r="AU125" s="5"/>
      <c r="AV125" s="157"/>
      <c r="AW125" s="157"/>
    </row>
    <row r="126" customFormat="false" ht="22.5" hidden="false" customHeight="true" outlineLevel="0" collapsed="false">
      <c r="L126" s="212" t="s">
        <v>163</v>
      </c>
      <c r="AC126" s="212" t="s">
        <v>163</v>
      </c>
    </row>
    <row r="127" customFormat="false" ht="24" hidden="false" customHeight="false" outlineLevel="0" collapsed="false">
      <c r="D127" s="161" t="s">
        <v>123</v>
      </c>
      <c r="E127" s="161"/>
      <c r="G127" s="162" t="n">
        <f aca="false">ROUND(AT132,1)</f>
        <v>1</v>
      </c>
      <c r="H127" s="162"/>
      <c r="I127" s="162"/>
      <c r="J127" s="162"/>
      <c r="K127" s="163"/>
      <c r="L127" s="162" t="n">
        <f aca="false">G127-ByStudent!G127</f>
        <v>-5</v>
      </c>
      <c r="M127" s="163"/>
      <c r="N127" s="163"/>
      <c r="O127" s="163"/>
      <c r="P127" s="163"/>
      <c r="V127" s="80"/>
      <c r="W127" s="80"/>
      <c r="X127" s="164"/>
      <c r="Y127" s="165" t="n">
        <f aca="false">SUM(Y6:Y124)</f>
        <v>3</v>
      </c>
      <c r="Z127" s="166" t="s">
        <v>124</v>
      </c>
      <c r="AA127" s="167" t="n">
        <f aca="false">AT127</f>
        <v>370</v>
      </c>
      <c r="AB127" s="80"/>
      <c r="AC127" s="213" t="e">
        <f aca="false">SUM(AC6:AC124)</f>
        <v>#VALUE!</v>
      </c>
      <c r="AE127" s="80"/>
      <c r="AF127" s="80"/>
      <c r="AG127" s="80"/>
      <c r="AH127" s="80"/>
      <c r="AI127" s="80"/>
      <c r="AJ127" s="80"/>
      <c r="AR127" s="165" t="n">
        <f aca="false">SUM(AR6:AR124)</f>
        <v>3</v>
      </c>
      <c r="AT127" s="166" t="n">
        <f aca="false">SUM(AT6:AT124)</f>
        <v>370</v>
      </c>
      <c r="AV127" s="168" t="n">
        <f aca="false">SUM(AV6:AV124)</f>
        <v>3</v>
      </c>
      <c r="AW127" s="168" t="n">
        <f aca="false">SUM(AW6:AW124)</f>
        <v>370</v>
      </c>
    </row>
    <row r="128" customFormat="false" ht="20.25" hidden="false" customHeight="true" outlineLevel="0" collapsed="false">
      <c r="D128" s="169"/>
      <c r="E128" s="169"/>
      <c r="F128" s="34"/>
      <c r="G128" s="170"/>
      <c r="H128" s="170"/>
      <c r="I128" s="170"/>
      <c r="J128" s="170"/>
      <c r="K128" s="171"/>
      <c r="L128" s="171"/>
      <c r="M128" s="171"/>
      <c r="N128" s="98"/>
      <c r="O128" s="98"/>
      <c r="P128" s="98"/>
      <c r="AR128" s="32" t="s">
        <v>125</v>
      </c>
      <c r="AS128" s="2"/>
      <c r="AT128" s="32" t="s">
        <v>126</v>
      </c>
    </row>
    <row r="129" customFormat="false" ht="12.75" hidden="false" customHeight="true" outlineLevel="0" collapsed="false">
      <c r="D129" s="169"/>
      <c r="E129" s="169"/>
      <c r="G129" s="170"/>
      <c r="H129" s="170"/>
      <c r="I129" s="170"/>
      <c r="J129" s="170"/>
      <c r="K129" s="171"/>
      <c r="L129" s="171"/>
      <c r="M129" s="171"/>
      <c r="AR129" s="32"/>
      <c r="AS129" s="2"/>
      <c r="AT129" s="32"/>
    </row>
    <row r="130" customFormat="false" ht="13.2" hidden="false" customHeight="false" outlineLevel="0" collapsed="false">
      <c r="AR130" s="2"/>
      <c r="AS130" s="141"/>
    </row>
    <row r="131" customFormat="false" ht="13.2" hidden="false" customHeight="false" outlineLevel="0" collapsed="false">
      <c r="M131" s="69"/>
      <c r="N131" s="69"/>
      <c r="O131" s="69"/>
      <c r="P131" s="69"/>
      <c r="AR131" s="172"/>
      <c r="AS131" s="173"/>
    </row>
    <row r="132" customFormat="false" ht="22.8" hidden="false" customHeight="false" outlineLevel="0" collapsed="false">
      <c r="B132" s="174" t="s">
        <v>127</v>
      </c>
      <c r="C132" s="174"/>
      <c r="D132" s="174"/>
      <c r="E132" s="174"/>
      <c r="F132" s="174"/>
      <c r="G132" s="174"/>
      <c r="H132" s="174"/>
      <c r="I132" s="174"/>
      <c r="J132" s="174"/>
      <c r="K132" s="174"/>
      <c r="L132" s="174"/>
      <c r="M132" s="174" t="s">
        <v>128</v>
      </c>
      <c r="N132" s="174"/>
      <c r="O132" s="174"/>
      <c r="P132" s="174"/>
      <c r="Q132" s="169"/>
      <c r="S132" s="175" t="s">
        <v>7</v>
      </c>
      <c r="T132" s="175"/>
      <c r="U132" s="175"/>
      <c r="V132" s="175"/>
      <c r="Y132" s="175" t="s">
        <v>129</v>
      </c>
      <c r="Z132" s="175"/>
      <c r="AA132" s="175"/>
      <c r="AB132" s="175"/>
      <c r="AE132" s="176" t="s">
        <v>130</v>
      </c>
      <c r="AF132" s="5"/>
      <c r="AG132" s="5"/>
      <c r="AI132" s="212" t="s">
        <v>163</v>
      </c>
      <c r="AT132" s="177" t="n">
        <f aca="false">(AT136*AR127)+AT135</f>
        <v>1.04054054054054</v>
      </c>
    </row>
    <row r="133" customFormat="false" ht="13.5" hidden="false" customHeight="true" outlineLevel="0" collapsed="false">
      <c r="M133" s="8" t="s">
        <v>131</v>
      </c>
      <c r="N133" s="8"/>
      <c r="O133" s="8"/>
      <c r="P133" s="8"/>
      <c r="S133" s="8" t="s">
        <v>132</v>
      </c>
      <c r="T133" s="8"/>
      <c r="U133" s="8"/>
      <c r="V133" s="8"/>
      <c r="Y133" s="8" t="s">
        <v>133</v>
      </c>
      <c r="Z133" s="8"/>
      <c r="AA133" s="8"/>
      <c r="AB133" s="8"/>
      <c r="AT133" s="32" t="s">
        <v>123</v>
      </c>
    </row>
    <row r="134" customFormat="false" ht="13.2" hidden="false" customHeight="false" outlineLevel="0" collapsed="false">
      <c r="M134" s="8"/>
      <c r="N134" s="8"/>
      <c r="O134" s="8"/>
      <c r="P134" s="8"/>
      <c r="S134" s="8"/>
      <c r="T134" s="8"/>
      <c r="U134" s="8"/>
      <c r="V134" s="8"/>
      <c r="Y134" s="8"/>
      <c r="Z134" s="8"/>
      <c r="AA134" s="8"/>
      <c r="AB134" s="8"/>
    </row>
    <row r="135" customFormat="false" ht="13.8" hidden="false" customHeight="false" outlineLevel="0" collapsed="false">
      <c r="M135" s="34"/>
      <c r="AR135" s="178" t="s">
        <v>134</v>
      </c>
      <c r="AS135" s="178"/>
      <c r="AT135" s="179" t="n">
        <v>1</v>
      </c>
    </row>
    <row r="136" customFormat="false" ht="13.2" hidden="false" customHeight="false" outlineLevel="0" collapsed="false">
      <c r="B136" s="180" t="s">
        <v>135</v>
      </c>
      <c r="C136" s="209" t="str">
        <f aca="false">ByStudent!C136</f>
        <v>Mouchet</v>
      </c>
      <c r="D136" s="209"/>
      <c r="E136" s="209"/>
      <c r="F136" s="209"/>
      <c r="G136" s="209"/>
      <c r="H136" s="209"/>
      <c r="I136" s="209"/>
      <c r="J136" s="209"/>
      <c r="K136" s="209"/>
      <c r="M136" s="181" t="n">
        <f aca="false">ByStudent!M136</f>
        <v>0</v>
      </c>
      <c r="N136" s="181"/>
      <c r="O136" s="181"/>
      <c r="P136" s="181"/>
      <c r="S136" s="162" t="n">
        <f aca="false">G127+IF(M136&lt;&gt;"",MIN(M136,0.5),0)</f>
        <v>1</v>
      </c>
      <c r="T136" s="162"/>
      <c r="U136" s="162"/>
      <c r="V136" s="162"/>
      <c r="Y136" s="182" t="n">
        <f aca="false">MAX(1,MIN(S136,6))</f>
        <v>1</v>
      </c>
      <c r="Z136" s="182"/>
      <c r="AA136" s="182"/>
      <c r="AB136" s="182"/>
      <c r="AE136" s="183"/>
      <c r="AF136" s="184" t="str">
        <f aca="false">IF(AND(M136&lt;&gt;0,AE136=""),"TODO ! Justifiier Bonus/malus !","")</f>
        <v/>
      </c>
      <c r="AG136" s="62"/>
      <c r="AH136" s="185"/>
      <c r="AI136" s="214" t="n">
        <f aca="false">Y136-ByStudent!Y136</f>
        <v>-5</v>
      </c>
      <c r="AJ136" s="185"/>
      <c r="AK136" s="185"/>
      <c r="AL136" s="185"/>
      <c r="AM136" s="185"/>
      <c r="AN136" s="185"/>
      <c r="AO136" s="185"/>
      <c r="AP136" s="185"/>
      <c r="AQ136" s="185"/>
      <c r="AR136" s="186" t="s">
        <v>137</v>
      </c>
      <c r="AS136" s="186"/>
      <c r="AT136" s="187" t="n">
        <f aca="false">5/AT127</f>
        <v>0.0135135135135135</v>
      </c>
      <c r="AU136" s="185"/>
      <c r="AV136" s="185"/>
      <c r="AW136" s="185"/>
      <c r="AX136" s="5"/>
    </row>
    <row r="137" customFormat="false" ht="13.2" hidden="false" customHeight="false" outlineLevel="0" collapsed="false">
      <c r="B137" s="188" t="s">
        <v>138</v>
      </c>
      <c r="C137" s="210" t="str">
        <f aca="false">ByStudent!C137</f>
        <v>Guillaume</v>
      </c>
      <c r="D137" s="210"/>
      <c r="E137" s="210"/>
      <c r="F137" s="210"/>
      <c r="G137" s="210"/>
      <c r="H137" s="210"/>
      <c r="I137" s="210"/>
      <c r="J137" s="210"/>
      <c r="K137" s="210"/>
      <c r="M137" s="181"/>
      <c r="N137" s="181"/>
      <c r="O137" s="181"/>
      <c r="P137" s="181"/>
      <c r="S137" s="162"/>
      <c r="T137" s="162"/>
      <c r="U137" s="162"/>
      <c r="V137" s="162"/>
      <c r="Y137" s="182"/>
      <c r="Z137" s="182"/>
      <c r="AA137" s="182"/>
      <c r="AB137" s="182"/>
      <c r="AE137" s="183"/>
      <c r="AF137" s="184"/>
      <c r="AG137" s="62"/>
      <c r="AH137" s="185"/>
      <c r="AI137" s="214"/>
      <c r="AJ137" s="185"/>
      <c r="AK137" s="185"/>
      <c r="AL137" s="185"/>
      <c r="AM137" s="185"/>
      <c r="AN137" s="185"/>
      <c r="AO137" s="185"/>
      <c r="AP137" s="185"/>
      <c r="AQ137" s="185"/>
      <c r="AR137" s="190" t="s">
        <v>140</v>
      </c>
      <c r="AS137" s="190"/>
      <c r="AT137" s="190"/>
      <c r="AU137" s="185"/>
      <c r="AV137" s="185"/>
      <c r="AW137" s="185"/>
    </row>
    <row r="138" customFormat="false" ht="13.2" hidden="false" customHeight="false" outlineLevel="0" collapsed="false">
      <c r="B138" s="191" t="s">
        <v>141</v>
      </c>
      <c r="C138" s="210" t="str">
        <f aca="false">ByStudent!C138</f>
        <v>guillaume.mouchet@he-arc.ch</v>
      </c>
      <c r="D138" s="210"/>
      <c r="E138" s="210"/>
      <c r="F138" s="210"/>
      <c r="G138" s="210"/>
      <c r="H138" s="210"/>
      <c r="I138" s="210"/>
      <c r="J138" s="210"/>
      <c r="K138" s="210"/>
      <c r="M138" s="181"/>
      <c r="N138" s="181"/>
      <c r="O138" s="181"/>
      <c r="P138" s="181"/>
      <c r="S138" s="162"/>
      <c r="T138" s="162"/>
      <c r="U138" s="162"/>
      <c r="V138" s="162"/>
      <c r="Y138" s="182"/>
      <c r="Z138" s="182"/>
      <c r="AA138" s="182"/>
      <c r="AB138" s="182"/>
      <c r="AE138" s="183"/>
      <c r="AF138" s="184"/>
      <c r="AG138" s="62"/>
      <c r="AH138" s="185"/>
      <c r="AI138" s="214"/>
      <c r="AJ138" s="185"/>
      <c r="AK138" s="185"/>
      <c r="AL138" s="185"/>
      <c r="AM138" s="185"/>
      <c r="AN138" s="185"/>
      <c r="AO138" s="185"/>
      <c r="AP138" s="185"/>
      <c r="AQ138" s="185"/>
      <c r="AR138" s="193" t="s">
        <v>143</v>
      </c>
      <c r="AS138" s="193"/>
      <c r="AT138" s="193"/>
      <c r="AU138" s="185"/>
      <c r="AV138" s="185"/>
      <c r="AW138" s="185"/>
    </row>
    <row r="139" customFormat="false" ht="13.8" hidden="false" customHeight="false" outlineLevel="0" collapsed="false">
      <c r="B139" s="194" t="s">
        <v>144</v>
      </c>
      <c r="C139" s="211" t="n">
        <f aca="false">ByStudent!C139</f>
        <v>27</v>
      </c>
      <c r="D139" s="211"/>
      <c r="E139" s="211"/>
      <c r="F139" s="211"/>
      <c r="G139" s="211"/>
      <c r="H139" s="211"/>
      <c r="I139" s="211"/>
      <c r="J139" s="211"/>
      <c r="K139" s="211"/>
      <c r="M139" s="181"/>
      <c r="N139" s="181"/>
      <c r="O139" s="181"/>
      <c r="P139" s="181"/>
      <c r="S139" s="162"/>
      <c r="T139" s="162"/>
      <c r="U139" s="162"/>
      <c r="V139" s="162"/>
      <c r="Y139" s="182"/>
      <c r="Z139" s="182"/>
      <c r="AA139" s="182"/>
      <c r="AB139" s="182"/>
      <c r="AE139" s="183"/>
      <c r="AF139" s="184"/>
      <c r="AG139" s="62"/>
      <c r="AH139" s="185"/>
      <c r="AI139" s="214"/>
      <c r="AJ139" s="185"/>
      <c r="AK139" s="185"/>
      <c r="AL139" s="185"/>
      <c r="AM139" s="185"/>
      <c r="AN139" s="185"/>
      <c r="AO139" s="185"/>
      <c r="AP139" s="185"/>
      <c r="AQ139" s="185"/>
      <c r="AR139" s="185"/>
      <c r="AS139" s="185"/>
      <c r="AT139" s="185"/>
      <c r="AU139" s="185"/>
      <c r="AV139" s="185"/>
      <c r="AW139" s="185"/>
    </row>
    <row r="140" customFormat="false" ht="13.2" hidden="false" customHeight="false" outlineLevel="0" collapsed="false">
      <c r="M140" s="135" t="str">
        <f aca="false">IF(M136&gt;0.5,"max 0.5","")</f>
        <v/>
      </c>
      <c r="N140" s="135"/>
      <c r="O140" s="135"/>
      <c r="P140" s="135"/>
      <c r="AT140" s="2"/>
    </row>
    <row r="141" customFormat="false" ht="13.8" hidden="false" customHeight="false" outlineLevel="0" collapsed="false"/>
    <row r="142" customFormat="false" ht="13.2" hidden="false" customHeight="false" outlineLevel="0" collapsed="false">
      <c r="B142" s="180" t="s">
        <v>135</v>
      </c>
      <c r="C142" s="209" t="str">
        <f aca="false">ByStudent!C142</f>
        <v>Mouchet</v>
      </c>
      <c r="D142" s="209"/>
      <c r="E142" s="209"/>
      <c r="F142" s="209"/>
      <c r="G142" s="209"/>
      <c r="H142" s="209"/>
      <c r="I142" s="209"/>
      <c r="J142" s="209"/>
      <c r="K142" s="209"/>
      <c r="M142" s="181" t="n">
        <f aca="false">ByStudent!M142</f>
        <v>0</v>
      </c>
      <c r="N142" s="181"/>
      <c r="O142" s="181"/>
      <c r="P142" s="181"/>
      <c r="S142" s="162" t="n">
        <f aca="false">G127+IF(M142&lt;&gt;"",MIN(M142,0.5),0)</f>
        <v>1</v>
      </c>
      <c r="T142" s="162"/>
      <c r="U142" s="162"/>
      <c r="V142" s="162"/>
      <c r="Y142" s="182" t="n">
        <f aca="false">MAX(1,MIN(S142,6))</f>
        <v>1</v>
      </c>
      <c r="Z142" s="182"/>
      <c r="AA142" s="182"/>
      <c r="AB142" s="182"/>
      <c r="AE142" s="183"/>
      <c r="AF142" s="184" t="str">
        <f aca="false">IF(AND(M142&lt;&gt;0,AE142=""),"TODO ! Justifiier Bonus/malus !","")</f>
        <v/>
      </c>
      <c r="AG142" s="62"/>
      <c r="AH142" s="185"/>
      <c r="AI142" s="214" t="n">
        <f aca="false">Y142-ByStudent!Y142</f>
        <v>-5</v>
      </c>
      <c r="AJ142" s="185"/>
      <c r="AK142" s="185"/>
      <c r="AL142" s="185"/>
      <c r="AM142" s="185"/>
      <c r="AN142" s="185"/>
      <c r="AO142" s="185"/>
      <c r="AP142" s="185"/>
      <c r="AQ142" s="185"/>
      <c r="AR142" s="185"/>
      <c r="AS142" s="185"/>
      <c r="AT142" s="185"/>
      <c r="AU142" s="185"/>
      <c r="AV142" s="185"/>
      <c r="AW142" s="185"/>
      <c r="AX142" s="5"/>
    </row>
    <row r="143" customFormat="false" ht="13.2" hidden="false" customHeight="false" outlineLevel="0" collapsed="false">
      <c r="B143" s="188" t="s">
        <v>138</v>
      </c>
      <c r="C143" s="210" t="str">
        <f aca="false">ByStudent!C143</f>
        <v>Benjamin</v>
      </c>
      <c r="D143" s="210"/>
      <c r="E143" s="210"/>
      <c r="F143" s="210"/>
      <c r="G143" s="210"/>
      <c r="H143" s="210"/>
      <c r="I143" s="210"/>
      <c r="J143" s="210"/>
      <c r="K143" s="210"/>
      <c r="M143" s="181"/>
      <c r="N143" s="181"/>
      <c r="O143" s="181"/>
      <c r="P143" s="181"/>
      <c r="S143" s="162"/>
      <c r="T143" s="162"/>
      <c r="U143" s="162"/>
      <c r="V143" s="162"/>
      <c r="Y143" s="182"/>
      <c r="Z143" s="182"/>
      <c r="AA143" s="182"/>
      <c r="AB143" s="182"/>
      <c r="AE143" s="183"/>
      <c r="AF143" s="184"/>
      <c r="AG143" s="62"/>
      <c r="AH143" s="185"/>
      <c r="AI143" s="214"/>
      <c r="AJ143" s="185"/>
      <c r="AK143" s="185"/>
      <c r="AL143" s="185"/>
      <c r="AM143" s="185"/>
      <c r="AN143" s="185"/>
      <c r="AO143" s="185"/>
      <c r="AP143" s="185"/>
      <c r="AQ143" s="185"/>
      <c r="AR143" s="185"/>
      <c r="AS143" s="185"/>
      <c r="AT143" s="185"/>
      <c r="AU143" s="185"/>
      <c r="AV143" s="185"/>
      <c r="AW143" s="185"/>
    </row>
    <row r="144" customFormat="false" ht="13.2" hidden="false" customHeight="false" outlineLevel="0" collapsed="false">
      <c r="B144" s="191" t="s">
        <v>141</v>
      </c>
      <c r="C144" s="210" t="str">
        <f aca="false">ByStudent!C144</f>
        <v>benjamin.mouchet@he-arc.ch</v>
      </c>
      <c r="D144" s="210"/>
      <c r="E144" s="210"/>
      <c r="F144" s="210"/>
      <c r="G144" s="210"/>
      <c r="H144" s="210"/>
      <c r="I144" s="210"/>
      <c r="J144" s="210"/>
      <c r="K144" s="210"/>
      <c r="M144" s="181"/>
      <c r="N144" s="181"/>
      <c r="O144" s="181"/>
      <c r="P144" s="181"/>
      <c r="S144" s="162"/>
      <c r="T144" s="162"/>
      <c r="U144" s="162"/>
      <c r="V144" s="162"/>
      <c r="Y144" s="182"/>
      <c r="Z144" s="182"/>
      <c r="AA144" s="182"/>
      <c r="AB144" s="182"/>
      <c r="AE144" s="183"/>
      <c r="AF144" s="184"/>
      <c r="AG144" s="62"/>
      <c r="AH144" s="185"/>
      <c r="AI144" s="214"/>
      <c r="AJ144" s="185"/>
      <c r="AK144" s="185"/>
      <c r="AL144" s="185"/>
      <c r="AM144" s="185"/>
      <c r="AN144" s="185"/>
      <c r="AO144" s="185"/>
      <c r="AP144" s="185"/>
      <c r="AQ144" s="185"/>
      <c r="AR144" s="185"/>
      <c r="AS144" s="185"/>
      <c r="AT144" s="185"/>
      <c r="AU144" s="185"/>
      <c r="AV144" s="185"/>
      <c r="AW144" s="185"/>
    </row>
    <row r="145" customFormat="false" ht="13.8" hidden="false" customHeight="false" outlineLevel="0" collapsed="false">
      <c r="B145" s="194" t="s">
        <v>144</v>
      </c>
      <c r="C145" s="211" t="n">
        <f aca="false">ByStudent!C145</f>
        <v>26</v>
      </c>
      <c r="D145" s="211"/>
      <c r="E145" s="211"/>
      <c r="F145" s="211"/>
      <c r="G145" s="211"/>
      <c r="H145" s="211"/>
      <c r="I145" s="211"/>
      <c r="J145" s="211"/>
      <c r="K145" s="211"/>
      <c r="M145" s="181"/>
      <c r="N145" s="181"/>
      <c r="O145" s="181"/>
      <c r="P145" s="181"/>
      <c r="S145" s="162"/>
      <c r="T145" s="162"/>
      <c r="U145" s="162"/>
      <c r="V145" s="162"/>
      <c r="Y145" s="182"/>
      <c r="Z145" s="182"/>
      <c r="AA145" s="182"/>
      <c r="AB145" s="182"/>
      <c r="AE145" s="183"/>
      <c r="AF145" s="184"/>
      <c r="AG145" s="62"/>
      <c r="AH145" s="185"/>
      <c r="AI145" s="214"/>
      <c r="AJ145" s="185"/>
      <c r="AK145" s="185"/>
      <c r="AL145" s="185"/>
      <c r="AM145" s="185"/>
      <c r="AN145" s="185"/>
      <c r="AO145" s="185"/>
      <c r="AP145" s="185"/>
      <c r="AQ145" s="185"/>
      <c r="AR145" s="185"/>
      <c r="AS145" s="185"/>
      <c r="AT145" s="185"/>
      <c r="AU145" s="185"/>
      <c r="AV145" s="185"/>
      <c r="AW145" s="185"/>
    </row>
    <row r="146" customFormat="false" ht="13.2" hidden="false" customHeight="false" outlineLevel="0" collapsed="false">
      <c r="B146" s="135" t="s">
        <v>147</v>
      </c>
      <c r="C146" s="135"/>
      <c r="D146" s="135"/>
      <c r="E146" s="135"/>
      <c r="F146" s="135"/>
      <c r="G146" s="135"/>
      <c r="H146" s="135"/>
      <c r="I146" s="135"/>
      <c r="J146" s="135"/>
      <c r="K146" s="135"/>
      <c r="M146" s="135" t="str">
        <f aca="false">IF(M142&gt;0.5,"max 0.5","")</f>
        <v/>
      </c>
      <c r="N146" s="135"/>
      <c r="O146" s="135"/>
      <c r="P146" s="135"/>
    </row>
    <row r="147" customFormat="false" ht="13.8" hidden="false" customHeight="false" outlineLevel="0" collapsed="false"/>
    <row r="148" customFormat="false" ht="13.2" hidden="false" customHeight="false" outlineLevel="0" collapsed="false">
      <c r="B148" s="180" t="s">
        <v>135</v>
      </c>
      <c r="C148" s="209" t="str">
        <f aca="false">ByStudent!C148</f>
        <v> </v>
      </c>
      <c r="D148" s="209"/>
      <c r="E148" s="209"/>
      <c r="F148" s="209"/>
      <c r="G148" s="209"/>
      <c r="H148" s="209"/>
      <c r="I148" s="209"/>
      <c r="J148" s="209"/>
      <c r="K148" s="209"/>
      <c r="M148" s="181" t="n">
        <f aca="false">ByStudent!M148</f>
        <v>0</v>
      </c>
      <c r="N148" s="181"/>
      <c r="O148" s="181"/>
      <c r="P148" s="181"/>
      <c r="S148" s="162" t="n">
        <f aca="false">G127+IF(M148&lt;&gt;"",MIN(M148,0.5),0)</f>
        <v>1</v>
      </c>
      <c r="T148" s="162"/>
      <c r="U148" s="162"/>
      <c r="V148" s="162"/>
      <c r="Y148" s="182" t="n">
        <f aca="false">MAX(1,MIN(S148,6))</f>
        <v>1</v>
      </c>
      <c r="Z148" s="182"/>
      <c r="AA148" s="182"/>
      <c r="AB148" s="182"/>
      <c r="AE148" s="183"/>
      <c r="AF148" s="184" t="str">
        <f aca="false">IF(AND(M148&lt;&gt;0,AE148=""),"TODO ! Justifiier Bonus/malus !","")</f>
        <v/>
      </c>
      <c r="AG148" s="62"/>
      <c r="AH148" s="185"/>
      <c r="AI148" s="214" t="n">
        <f aca="false">Y148-ByStudent!Y148</f>
        <v>-5</v>
      </c>
      <c r="AJ148" s="185"/>
      <c r="AK148" s="185"/>
      <c r="AL148" s="185"/>
      <c r="AM148" s="185"/>
      <c r="AN148" s="185"/>
      <c r="AO148" s="185"/>
      <c r="AP148" s="185"/>
      <c r="AQ148" s="185"/>
      <c r="AR148" s="185"/>
      <c r="AS148" s="185"/>
      <c r="AT148" s="185"/>
      <c r="AU148" s="185"/>
      <c r="AV148" s="185"/>
      <c r="AW148" s="185"/>
      <c r="AX148" s="5"/>
    </row>
    <row r="149" customFormat="false" ht="13.2" hidden="false" customHeight="false" outlineLevel="0" collapsed="false">
      <c r="B149" s="188" t="s">
        <v>138</v>
      </c>
      <c r="C149" s="210" t="str">
        <f aca="false">ByStudent!C149</f>
        <v> </v>
      </c>
      <c r="D149" s="210"/>
      <c r="E149" s="210"/>
      <c r="F149" s="210"/>
      <c r="G149" s="210"/>
      <c r="H149" s="210"/>
      <c r="I149" s="210"/>
      <c r="J149" s="210"/>
      <c r="K149" s="210"/>
      <c r="M149" s="181"/>
      <c r="N149" s="181"/>
      <c r="O149" s="181"/>
      <c r="P149" s="181"/>
      <c r="S149" s="162"/>
      <c r="T149" s="162"/>
      <c r="U149" s="162"/>
      <c r="V149" s="162"/>
      <c r="Y149" s="182"/>
      <c r="Z149" s="182"/>
      <c r="AA149" s="182"/>
      <c r="AB149" s="182"/>
      <c r="AE149" s="183"/>
      <c r="AF149" s="184"/>
      <c r="AG149" s="62"/>
      <c r="AH149" s="185"/>
      <c r="AI149" s="214"/>
      <c r="AJ149" s="185"/>
      <c r="AK149" s="185"/>
      <c r="AL149" s="185"/>
      <c r="AM149" s="185"/>
      <c r="AN149" s="185"/>
      <c r="AO149" s="185"/>
      <c r="AP149" s="185"/>
      <c r="AQ149" s="185"/>
      <c r="AR149" s="185"/>
      <c r="AS149" s="185"/>
      <c r="AT149" s="185"/>
      <c r="AU149" s="185"/>
      <c r="AV149" s="185"/>
      <c r="AW149" s="185"/>
    </row>
    <row r="150" customFormat="false" ht="13.2" hidden="false" customHeight="false" outlineLevel="0" collapsed="false">
      <c r="B150" s="191" t="s">
        <v>141</v>
      </c>
      <c r="C150" s="210" t="str">
        <f aca="false">ByStudent!C150</f>
        <v> </v>
      </c>
      <c r="D150" s="210"/>
      <c r="E150" s="210"/>
      <c r="F150" s="210"/>
      <c r="G150" s="210"/>
      <c r="H150" s="210"/>
      <c r="I150" s="210"/>
      <c r="J150" s="210"/>
      <c r="K150" s="210"/>
      <c r="M150" s="181"/>
      <c r="N150" s="181"/>
      <c r="O150" s="181"/>
      <c r="P150" s="181"/>
      <c r="S150" s="162"/>
      <c r="T150" s="162"/>
      <c r="U150" s="162"/>
      <c r="V150" s="162"/>
      <c r="Y150" s="182"/>
      <c r="Z150" s="182"/>
      <c r="AA150" s="182"/>
      <c r="AB150" s="182"/>
      <c r="AE150" s="183"/>
      <c r="AF150" s="184"/>
      <c r="AG150" s="62"/>
      <c r="AH150" s="185"/>
      <c r="AI150" s="214"/>
      <c r="AJ150" s="185"/>
      <c r="AK150" s="185"/>
      <c r="AL150" s="185"/>
      <c r="AM150" s="185"/>
      <c r="AN150" s="185"/>
      <c r="AO150" s="185"/>
      <c r="AP150" s="185"/>
      <c r="AQ150" s="185"/>
      <c r="AR150" s="185"/>
      <c r="AS150" s="185"/>
      <c r="AT150" s="185"/>
      <c r="AU150" s="185"/>
      <c r="AV150" s="185"/>
      <c r="AW150" s="185"/>
    </row>
    <row r="151" customFormat="false" ht="13.8" hidden="false" customHeight="false" outlineLevel="0" collapsed="false">
      <c r="B151" s="194" t="s">
        <v>144</v>
      </c>
      <c r="C151" s="211" t="str">
        <f aca="false">ByStudent!C151</f>
        <v> </v>
      </c>
      <c r="D151" s="211"/>
      <c r="E151" s="211"/>
      <c r="F151" s="211"/>
      <c r="G151" s="211"/>
      <c r="H151" s="211"/>
      <c r="I151" s="211"/>
      <c r="J151" s="211"/>
      <c r="K151" s="211"/>
      <c r="M151" s="181"/>
      <c r="N151" s="181"/>
      <c r="O151" s="181"/>
      <c r="P151" s="181"/>
      <c r="S151" s="162"/>
      <c r="T151" s="162"/>
      <c r="U151" s="162"/>
      <c r="V151" s="162"/>
      <c r="Y151" s="182"/>
      <c r="Z151" s="182"/>
      <c r="AA151" s="182"/>
      <c r="AB151" s="182"/>
      <c r="AE151" s="183"/>
      <c r="AF151" s="184"/>
      <c r="AG151" s="62"/>
      <c r="AH151" s="185"/>
      <c r="AI151" s="214"/>
      <c r="AJ151" s="185"/>
      <c r="AK151" s="185"/>
      <c r="AL151" s="185"/>
      <c r="AM151" s="185"/>
      <c r="AN151" s="185"/>
      <c r="AO151" s="185"/>
      <c r="AP151" s="185"/>
      <c r="AQ151" s="185"/>
      <c r="AR151" s="185"/>
      <c r="AS151" s="185"/>
      <c r="AT151" s="185"/>
      <c r="AU151" s="185"/>
      <c r="AV151" s="185"/>
      <c r="AW151" s="185"/>
    </row>
    <row r="152" customFormat="false" ht="13.2" hidden="false" customHeight="false" outlineLevel="0" collapsed="false">
      <c r="B152" s="135" t="s">
        <v>147</v>
      </c>
      <c r="C152" s="135"/>
      <c r="D152" s="135"/>
      <c r="E152" s="135"/>
      <c r="F152" s="135"/>
      <c r="G152" s="135"/>
      <c r="H152" s="135"/>
      <c r="I152" s="135"/>
      <c r="J152" s="135"/>
      <c r="K152" s="135"/>
      <c r="M152" s="135" t="str">
        <f aca="false">IF(M148&gt;0.5,"max 0.5","")</f>
        <v/>
      </c>
      <c r="N152" s="135"/>
      <c r="O152" s="135"/>
      <c r="P152" s="135"/>
    </row>
    <row r="154" customFormat="false" ht="13.2" hidden="false" customHeight="false" outlineLevel="0" collapsed="false">
      <c r="B154" s="196" t="s">
        <v>149</v>
      </c>
      <c r="C154" s="196"/>
      <c r="D154" s="196"/>
      <c r="E154" s="196"/>
      <c r="F154" s="196"/>
      <c r="G154" s="196"/>
      <c r="H154" s="196"/>
      <c r="I154" s="196"/>
      <c r="J154" s="196"/>
      <c r="K154" s="196"/>
      <c r="M154" s="197"/>
      <c r="N154" s="197"/>
      <c r="O154" s="197"/>
      <c r="P154" s="197"/>
    </row>
    <row r="155" customFormat="false" ht="13.2" hidden="false" customHeight="false" outlineLevel="0" collapsed="false">
      <c r="B155" s="194" t="s">
        <v>144</v>
      </c>
      <c r="C155" s="198" t="n">
        <f aca="false">ByStudent!C155</f>
        <v>27</v>
      </c>
      <c r="D155" s="198"/>
      <c r="E155" s="198"/>
      <c r="F155" s="198"/>
      <c r="G155" s="198"/>
      <c r="H155" s="198"/>
      <c r="I155" s="198"/>
      <c r="J155" s="198"/>
      <c r="K155" s="198"/>
      <c r="M155" s="38" t="s">
        <v>150</v>
      </c>
      <c r="N155" s="39"/>
      <c r="O155" s="39"/>
      <c r="P155" s="92"/>
      <c r="Q155" s="21"/>
    </row>
    <row r="156" customFormat="false" ht="13.2" hidden="false" customHeight="false" outlineLevel="0" collapsed="false">
      <c r="M156" s="82"/>
      <c r="N156" s="34" t="s">
        <v>151</v>
      </c>
      <c r="O156" s="34"/>
      <c r="P156" s="93"/>
      <c r="Q156" s="21" t="s">
        <v>152</v>
      </c>
    </row>
    <row r="157" customFormat="false" ht="13.2" hidden="false" customHeight="false" outlineLevel="0" collapsed="false">
      <c r="M157" s="82"/>
      <c r="N157" s="34" t="s">
        <v>153</v>
      </c>
      <c r="O157" s="34"/>
      <c r="P157" s="93"/>
      <c r="Q157" s="21" t="s">
        <v>154</v>
      </c>
    </row>
    <row r="158" customFormat="false" ht="13.2" hidden="false" customHeight="false" outlineLevel="0" collapsed="false">
      <c r="M158" s="82" t="s">
        <v>155</v>
      </c>
      <c r="N158" s="34"/>
      <c r="O158" s="34"/>
      <c r="P158" s="93"/>
      <c r="Q158" s="21" t="s">
        <v>154</v>
      </c>
    </row>
    <row r="159" customFormat="false" ht="13.2" hidden="false" customHeight="false" outlineLevel="0" collapsed="false">
      <c r="M159" s="82" t="s">
        <v>156</v>
      </c>
      <c r="N159" s="34"/>
      <c r="O159" s="34"/>
      <c r="P159" s="93"/>
      <c r="Q159" s="21" t="s">
        <v>152</v>
      </c>
    </row>
    <row r="160" customFormat="false" ht="13.2" hidden="false" customHeight="false" outlineLevel="0" collapsed="false">
      <c r="M160" s="82" t="s">
        <v>157</v>
      </c>
      <c r="P160" s="96"/>
      <c r="Q160" s="21" t="s">
        <v>152</v>
      </c>
    </row>
    <row r="161" customFormat="false" ht="13.2" hidden="false" customHeight="false" outlineLevel="0" collapsed="false">
      <c r="M161" s="55" t="s">
        <v>158</v>
      </c>
      <c r="N161" s="132"/>
      <c r="O161" s="132"/>
      <c r="P161" s="199"/>
      <c r="Q161" s="21" t="s">
        <v>154</v>
      </c>
    </row>
  </sheetData>
  <mergeCells count="155">
    <mergeCell ref="G2:J2"/>
    <mergeCell ref="B3:E3"/>
    <mergeCell ref="G3:J3"/>
    <mergeCell ref="L3:L4"/>
    <mergeCell ref="R3:S4"/>
    <mergeCell ref="U3:U4"/>
    <mergeCell ref="V3:V4"/>
    <mergeCell ref="Y3:Y4"/>
    <mergeCell ref="AA3:AA4"/>
    <mergeCell ref="AC3:AC4"/>
    <mergeCell ref="AE3:AE4"/>
    <mergeCell ref="AI3:AT3"/>
    <mergeCell ref="AV3:AW3"/>
    <mergeCell ref="C4:D4"/>
    <mergeCell ref="B6:B7"/>
    <mergeCell ref="S6:S7"/>
    <mergeCell ref="AG6:AG7"/>
    <mergeCell ref="AV6:AV7"/>
    <mergeCell ref="AW6:AW7"/>
    <mergeCell ref="B10:B17"/>
    <mergeCell ref="E10:E13"/>
    <mergeCell ref="S10:S17"/>
    <mergeCell ref="AG10:AG17"/>
    <mergeCell ref="AV10:AV17"/>
    <mergeCell ref="AW10:AW17"/>
    <mergeCell ref="E15:E17"/>
    <mergeCell ref="B20:B29"/>
    <mergeCell ref="E20:E23"/>
    <mergeCell ref="S20:S29"/>
    <mergeCell ref="AG20:AG29"/>
    <mergeCell ref="AV20:AV29"/>
    <mergeCell ref="AW20:AW29"/>
    <mergeCell ref="E26:E29"/>
    <mergeCell ref="B32:B44"/>
    <mergeCell ref="S32:S44"/>
    <mergeCell ref="AG32:AG44"/>
    <mergeCell ref="AV32:AV44"/>
    <mergeCell ref="AW32:AW44"/>
    <mergeCell ref="B47:B53"/>
    <mergeCell ref="S47:S53"/>
    <mergeCell ref="AG47:AG53"/>
    <mergeCell ref="AV47:AV53"/>
    <mergeCell ref="AW47:AW53"/>
    <mergeCell ref="E51:E53"/>
    <mergeCell ref="B56:B70"/>
    <mergeCell ref="S56:S70"/>
    <mergeCell ref="AG56:AG70"/>
    <mergeCell ref="AV56:AV70"/>
    <mergeCell ref="AW56:AW70"/>
    <mergeCell ref="E64:E66"/>
    <mergeCell ref="E68:E70"/>
    <mergeCell ref="B73:B81"/>
    <mergeCell ref="S73:S81"/>
    <mergeCell ref="AG73:AG81"/>
    <mergeCell ref="AV73:AV81"/>
    <mergeCell ref="AW73:AW81"/>
    <mergeCell ref="AI77:AT77"/>
    <mergeCell ref="E78:E81"/>
    <mergeCell ref="B84:B90"/>
    <mergeCell ref="S84:S90"/>
    <mergeCell ref="AG84:AG90"/>
    <mergeCell ref="AV84:AV90"/>
    <mergeCell ref="AW84:AW90"/>
    <mergeCell ref="E88:E90"/>
    <mergeCell ref="B93:B100"/>
    <mergeCell ref="S93:S100"/>
    <mergeCell ref="AG93:AG100"/>
    <mergeCell ref="AV93:AV100"/>
    <mergeCell ref="AW93:AW100"/>
    <mergeCell ref="D101:E101"/>
    <mergeCell ref="B103:B108"/>
    <mergeCell ref="E103:E104"/>
    <mergeCell ref="S103:S108"/>
    <mergeCell ref="AG103:AG108"/>
    <mergeCell ref="AV103:AV108"/>
    <mergeCell ref="AW103:AW108"/>
    <mergeCell ref="E105:E108"/>
    <mergeCell ref="B111:B114"/>
    <mergeCell ref="S111:S114"/>
    <mergeCell ref="AG111:AG114"/>
    <mergeCell ref="AV111:AV114"/>
    <mergeCell ref="AW111:AW114"/>
    <mergeCell ref="B117:B124"/>
    <mergeCell ref="G117:J117"/>
    <mergeCell ref="S117:S124"/>
    <mergeCell ref="AA117:AA124"/>
    <mergeCell ref="AG117:AG124"/>
    <mergeCell ref="AK117:AN117"/>
    <mergeCell ref="AV117:AV124"/>
    <mergeCell ref="AW117:AW124"/>
    <mergeCell ref="G118:J118"/>
    <mergeCell ref="AK118:AN118"/>
    <mergeCell ref="G119:J119"/>
    <mergeCell ref="AK119:AN119"/>
    <mergeCell ref="G120:J120"/>
    <mergeCell ref="AK120:AN120"/>
    <mergeCell ref="G121:J121"/>
    <mergeCell ref="AK121:AN121"/>
    <mergeCell ref="G122:J122"/>
    <mergeCell ref="AK122:AN122"/>
    <mergeCell ref="G123:J123"/>
    <mergeCell ref="AK123:AN123"/>
    <mergeCell ref="G124:J124"/>
    <mergeCell ref="AK124:AN124"/>
    <mergeCell ref="D127:E127"/>
    <mergeCell ref="G127:J127"/>
    <mergeCell ref="B132:L132"/>
    <mergeCell ref="M132:P132"/>
    <mergeCell ref="S132:V132"/>
    <mergeCell ref="Y132:AB132"/>
    <mergeCell ref="M133:P134"/>
    <mergeCell ref="S133:V134"/>
    <mergeCell ref="Y133:AB134"/>
    <mergeCell ref="AR135:AS135"/>
    <mergeCell ref="C136:K136"/>
    <mergeCell ref="M136:P139"/>
    <mergeCell ref="S136:V139"/>
    <mergeCell ref="Y136:AB139"/>
    <mergeCell ref="AE136:AE139"/>
    <mergeCell ref="AF136:AF139"/>
    <mergeCell ref="AI136:AI139"/>
    <mergeCell ref="AR136:AS136"/>
    <mergeCell ref="C137:K137"/>
    <mergeCell ref="AR137:AT137"/>
    <mergeCell ref="C138:K138"/>
    <mergeCell ref="AR138:AT138"/>
    <mergeCell ref="C139:K139"/>
    <mergeCell ref="M140:P140"/>
    <mergeCell ref="C142:K142"/>
    <mergeCell ref="M142:P145"/>
    <mergeCell ref="S142:V145"/>
    <mergeCell ref="Y142:AB145"/>
    <mergeCell ref="AE142:AE145"/>
    <mergeCell ref="AF142:AF145"/>
    <mergeCell ref="AI142:AI145"/>
    <mergeCell ref="C143:K143"/>
    <mergeCell ref="C144:K144"/>
    <mergeCell ref="C145:K145"/>
    <mergeCell ref="B146:K146"/>
    <mergeCell ref="M146:P146"/>
    <mergeCell ref="C148:K148"/>
    <mergeCell ref="M148:P151"/>
    <mergeCell ref="S148:V151"/>
    <mergeCell ref="Y148:AB151"/>
    <mergeCell ref="AE148:AE151"/>
    <mergeCell ref="AF148:AF151"/>
    <mergeCell ref="AI148:AI151"/>
    <mergeCell ref="C149:K149"/>
    <mergeCell ref="C150:K150"/>
    <mergeCell ref="C151:K151"/>
    <mergeCell ref="B152:K152"/>
    <mergeCell ref="M152:P152"/>
    <mergeCell ref="B154:K154"/>
    <mergeCell ref="M154:P154"/>
    <mergeCell ref="C155:K155"/>
  </mergeCells>
  <conditionalFormatting sqref="K117:K125">
    <cfRule type="cellIs" priority="2" operator="equal" aboveAverage="0" equalAverage="0" bottom="0" percent="0" rank="0" text="" dxfId="0">
      <formula>"TODO!"</formula>
    </cfRule>
  </conditionalFormatting>
  <conditionalFormatting sqref="L127">
    <cfRule type="cellIs" priority="3" operator="lessThan" aboveAverage="0" equalAverage="0" bottom="0" percent="0" rank="0" text="" dxfId="0">
      <formula>0</formula>
    </cfRule>
    <cfRule type="cellIs" priority="4" operator="greaterThan" aboveAverage="0" equalAverage="0" bottom="0" percent="0" rank="0" text="" dxfId="0">
      <formula>0</formula>
    </cfRule>
  </conditionalFormatting>
  <conditionalFormatting sqref="L136:L139 L142:L155 AF6:AF124 AG9:AG10 AG18:AG19 AG30:AG31 AG45:AG46 AG54:AG55 AG101:AG102 AG109:AG111">
    <cfRule type="containsText" priority="5" operator="containsText" aboveAverage="0" equalAverage="0" bottom="0" percent="0" rank="0" text="TODO" dxfId="0"/>
  </conditionalFormatting>
  <conditionalFormatting sqref="M140:P140">
    <cfRule type="cellIs" priority="6" operator="equal" aboveAverage="0" equalAverage="0" bottom="0" percent="0" rank="0" text="" dxfId="0">
      <formula>"max 0.5"</formula>
    </cfRule>
  </conditionalFormatting>
  <conditionalFormatting sqref="M146:P146">
    <cfRule type="cellIs" priority="7" operator="equal" aboveAverage="0" equalAverage="0" bottom="0" percent="0" rank="0" text="" dxfId="1">
      <formula>"max 0.5"</formula>
    </cfRule>
  </conditionalFormatting>
  <conditionalFormatting sqref="M152:P152">
    <cfRule type="cellIs" priority="8" operator="equal" aboveAverage="0" equalAverage="0" bottom="0" percent="0" rank="0" text="" dxfId="1">
      <formula>"max 0.5"</formula>
    </cfRule>
  </conditionalFormatting>
  <conditionalFormatting sqref="AC6:AC124">
    <cfRule type="cellIs" priority="9" operator="lessThan" aboveAverage="0" equalAverage="0" bottom="0" percent="0" rank="0" text="" dxfId="2">
      <formula>0</formula>
    </cfRule>
    <cfRule type="cellIs" priority="10" operator="greaterThan" aboveAverage="0" equalAverage="0" bottom="0" percent="0" rank="0" text="" dxfId="2">
      <formula>0</formula>
    </cfRule>
  </conditionalFormatting>
  <conditionalFormatting sqref="AF136:AQ136 AF142:AW142 AF148:AW148 AH137:AH139 AH143:AH145 AH149:AH151 AJ137:AR138 AJ139:AW139 AJ143:AW145 AJ149:AW151 AU136:AW138">
    <cfRule type="cellIs" priority="11" operator="equal" aboveAverage="0" equalAverage="0" bottom="0" percent="0" rank="0" text="" dxfId="2">
      <formula>"TODO ! Justifiier Bonus/malus !"</formula>
    </cfRule>
  </conditionalFormatting>
  <conditionalFormatting sqref="AG115:AG117">
    <cfRule type="containsText" priority="12" operator="containsText" aboveAverage="0" equalAverage="0" bottom="0" percent="0" rank="0" text="TODO" dxfId="2"/>
  </conditionalFormatting>
  <conditionalFormatting sqref="AI3:AI4">
    <cfRule type="cellIs" priority="13" operator="equal" aboveAverage="0" equalAverage="0" bottom="0" percent="0" rank="0" text="" dxfId="2">
      <formula>1</formula>
    </cfRule>
  </conditionalFormatting>
  <conditionalFormatting sqref="AI136:AI139 AI142:AI145 AI148:AI151">
    <cfRule type="cellIs" priority="14" operator="lessThan" aboveAverage="0" equalAverage="0" bottom="0" percent="0" rank="0" text="" dxfId="3">
      <formula>0</formula>
    </cfRule>
    <cfRule type="cellIs" priority="15" operator="greaterThan" aboveAverage="0" equalAverage="0" bottom="0" percent="0" rank="0" text="" dxfId="3">
      <formula>0</formula>
    </cfRule>
  </conditionalFormatting>
  <conditionalFormatting sqref="AK4:AT4 AR137">
    <cfRule type="cellIs" priority="16" operator="equal" aboveAverage="0" equalAverage="0" bottom="0" percent="0" rank="0" text="" dxfId="4">
      <formula>1</formula>
    </cfRule>
  </conditionalFormatting>
  <conditionalFormatting sqref="AV4:AW4">
    <cfRule type="cellIs" priority="17" operator="equal" aboveAverage="0" equalAverage="0" bottom="0" percent="0" rank="0" text="" dxfId="4">
      <formula>1</formula>
    </cfRule>
  </conditionalFormatting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110</TotalTime>
  <Application>LibreOffice/6.0.7.3$Linux_X86_64 LibreOffice_project/00m0$Build-3</Application>
  <Company>EICN-HES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2001-11-30T08:19:39Z</dcterms:created>
  <dc:creator>Departement E</dc:creator>
  <dc:description/>
  <dc:language>en-US</dc:language>
  <cp:lastModifiedBy/>
  <cp:lastPrinted>2002-07-10T14:35:10Z</cp:lastPrinted>
  <dcterms:modified xsi:type="dcterms:W3CDTF">2023-05-06T16:38:22Z</dcterms:modified>
  <cp:revision>19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EICN-HES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